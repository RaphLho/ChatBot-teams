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abrunerie\Downloads\"/>
    </mc:Choice>
  </mc:AlternateContent>
  <xr:revisionPtr revIDLastSave="13" documentId="13_ncr:1_{B0A62998-DC84-43E6-9D12-A48CECC7ED7A}" xr6:coauthVersionLast="47" xr6:coauthVersionMax="47" xr10:uidLastSave="{2673DF6C-927E-4330-B02A-BE1A9001CE34}"/>
  <bookViews>
    <workbookView xWindow="-108" yWindow="-108" windowWidth="23256" windowHeight="12456" tabRatio="830" xr2:uid="{00000000-000D-0000-FFFF-FFFF00000000}"/>
  </bookViews>
  <sheets>
    <sheet name="M2 MCD B5 - Ecrit+ oral" sheetId="8" r:id="rId1"/>
  </sheets>
  <definedNames>
    <definedName name="_xlnm.Print_Area" localSheetId="0">'M2 MCD B5 - Ecrit+ oral'!$A$1:$E$19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8" l="1"/>
  <c r="E34" i="8"/>
  <c r="D34" i="8"/>
  <c r="C34" i="8"/>
  <c r="D18" i="8"/>
  <c r="E18" i="8"/>
  <c r="F18" i="8"/>
  <c r="C18" i="8"/>
  <c r="C35" i="8" l="1"/>
  <c r="C36" i="8" s="1"/>
  <c r="C19" i="8"/>
  <c r="C20" i="8" s="1"/>
</calcChain>
</file>

<file path=xl/sharedStrings.xml><?xml version="1.0" encoding="utf-8"?>
<sst xmlns="http://schemas.openxmlformats.org/spreadsheetml/2006/main" count="41" uniqueCount="35">
  <si>
    <t>Epreuve BLOC 5 - Evaluation et optimisation de la stratégie marketing digitale</t>
  </si>
  <si>
    <t>Nom et prénom de l'étudiant :</t>
  </si>
  <si>
    <t>DOSSIER ECRIT</t>
  </si>
  <si>
    <t>Respect des attendus de l'épreuve</t>
  </si>
  <si>
    <t>Très insuffisant
0</t>
  </si>
  <si>
    <t>Insuffisant
3</t>
  </si>
  <si>
    <t>Bien 
7</t>
  </si>
  <si>
    <t>Très Bien 
10</t>
  </si>
  <si>
    <t>Analyse stratégique et audit</t>
  </si>
  <si>
    <t>Le diagnostic s'appuie sur des outils d'analyse stratégique.</t>
  </si>
  <si>
    <t>La méthodologie d'audit appliquée est pertinente (respect et conformité des étapes,  utilisation et exploitation des ressources).</t>
  </si>
  <si>
    <t>Le diagnostic permet de dégager une problématique pertinente.</t>
  </si>
  <si>
    <t>Analyse technique et présentation des résultats</t>
  </si>
  <si>
    <r>
      <rPr>
        <sz val="9"/>
        <color rgb="FF000000"/>
        <rFont val="Calibri"/>
        <family val="2"/>
      </rPr>
      <t>Les objectifs définis ainsi que les indicateurs choisis au regard de la stratégie marketing globale</t>
    </r>
    <r>
      <rPr>
        <sz val="9"/>
        <color rgb="FFFF0000"/>
        <rFont val="Calibri"/>
        <family val="2"/>
      </rPr>
      <t xml:space="preserve"> </t>
    </r>
    <r>
      <rPr>
        <sz val="9"/>
        <rFont val="Calibri"/>
        <family val="2"/>
      </rPr>
      <t>sont pertinents.</t>
    </r>
  </si>
  <si>
    <t>Le reporting existant dans l'entreprise est analysé sur le plan quantitatif et qualitatif.
En l'absence de reporting existant, celui proposé par l'étudiant est cohérent avec la vision stratégique et opérationnelle.</t>
  </si>
  <si>
    <t>Les contraintes et les points de vigilance sont Identifiés.</t>
  </si>
  <si>
    <t>Plan d’actions structuré</t>
  </si>
  <si>
    <t>Les préconisations sont opérationnelles : exploitables et réalistes</t>
  </si>
  <si>
    <t>Le plan d'actions est planifié et présenté de façon synthétique (sous forme de tableau).</t>
  </si>
  <si>
    <t>Le contenu du tableau de bord proposé permet de piloter le déploiement de la stratégie et des optimisations.</t>
  </si>
  <si>
    <t>Le ROI est projeté et la rentabilité est analysée.</t>
  </si>
  <si>
    <t>Total sur 100</t>
  </si>
  <si>
    <t>Note sur 20</t>
  </si>
  <si>
    <t>Appréciation et commentaires du correcteur obligatoires</t>
  </si>
  <si>
    <t xml:space="preserve">Nom et prénom de l'étudiant :
Noms des membres du Jury :
Date soutenance :
</t>
  </si>
  <si>
    <t>SOUTENANCE ORALE</t>
  </si>
  <si>
    <t>Appréciation globale sur la démarche - maturité et vision stratégique</t>
  </si>
  <si>
    <t>La valeur ajoutée de l'étudiant est perceptible à travers son questionnement et sa démarche approfondie et systématique.</t>
  </si>
  <si>
    <t>Les connaissances techniques sont déployées au service d'une solution appropriée et adaptée aux enjeux et aux objectifs clairement énoncés.</t>
  </si>
  <si>
    <t>La démarche exploratoire de la stratégie digitale de l'entreprise dépasse le cadre d'une approche restreinte d'analyses de données.</t>
  </si>
  <si>
    <t>Les préconisations proposées sont pertinentes, justifiée, inscrites dans le cadre de la stratégie marketing globale de l'entreprise et nourrissent un positionnement réaffirmé.</t>
  </si>
  <si>
    <t>La présentation de la note de synthèse est professionnelle et démontre la prise de hauteur attendue. </t>
  </si>
  <si>
    <t>Total sur 50</t>
  </si>
  <si>
    <t>Appréciation et commentaires du Jury obligatoires</t>
  </si>
  <si>
    <t>Signature du 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</si>
</sst>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Calibri"/>
      <family val="2"/>
    </font>
    <font>
      <sz val="11"/>
      <color theme="1"/>
      <name val="Arial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1" tint="0.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rgb="FFEFEFE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1"/>
  </cellStyleXfs>
  <cellXfs count="64">
    <xf numFmtId="0" fontId="0" fillId="0" borderId="0" xfId="0"/>
    <xf numFmtId="0" fontId="4" fillId="0" borderId="0" xfId="0" applyFont="1"/>
    <xf numFmtId="0" fontId="4" fillId="0" borderId="1" xfId="0" applyFont="1" applyBorder="1"/>
    <xf numFmtId="0" fontId="9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3" fillId="0" borderId="1" xfId="0" applyFont="1" applyBorder="1"/>
    <xf numFmtId="0" fontId="7" fillId="0" borderId="4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left" vertical="center" wrapText="1"/>
    </xf>
    <xf numFmtId="0" fontId="14" fillId="0" borderId="1" xfId="0" applyFont="1" applyBorder="1"/>
    <xf numFmtId="0" fontId="2" fillId="0" borderId="0" xfId="0" applyFont="1"/>
    <xf numFmtId="0" fontId="6" fillId="2" borderId="15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top"/>
    </xf>
    <xf numFmtId="0" fontId="5" fillId="0" borderId="12" xfId="0" applyFont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5" fillId="5" borderId="12" xfId="0" applyFont="1" applyFill="1" applyBorder="1"/>
    <xf numFmtId="0" fontId="15" fillId="0" borderId="9" xfId="0" applyFont="1" applyBorder="1" applyAlignment="1">
      <alignment wrapText="1"/>
    </xf>
    <xf numFmtId="0" fontId="16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8" fillId="4" borderId="5" xfId="0" applyFont="1" applyFill="1" applyBorder="1" applyAlignment="1">
      <alignment horizontal="left" vertical="center" wrapText="1"/>
    </xf>
    <xf numFmtId="0" fontId="20" fillId="6" borderId="1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7" fillId="0" borderId="2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0" fontId="1" fillId="0" borderId="0" xfId="0" applyFont="1"/>
    <xf numFmtId="0" fontId="21" fillId="0" borderId="1" xfId="0" applyFont="1" applyBorder="1" applyAlignment="1">
      <alignment horizontal="center"/>
    </xf>
    <xf numFmtId="0" fontId="22" fillId="7" borderId="3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3" fillId="7" borderId="23" xfId="0" applyFont="1" applyFill="1" applyBorder="1" applyAlignment="1">
      <alignment horizontal="center" vertical="center" wrapText="1"/>
    </xf>
    <xf numFmtId="0" fontId="23" fillId="7" borderId="24" xfId="0" applyFont="1" applyFill="1" applyBorder="1" applyAlignment="1">
      <alignment horizontal="center" vertical="center" wrapText="1"/>
    </xf>
    <xf numFmtId="0" fontId="23" fillId="7" borderId="25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1" fillId="0" borderId="18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/>
    <xf numFmtId="0" fontId="1" fillId="0" borderId="1" xfId="0" applyFont="1" applyBorder="1" applyAlignment="1">
      <alignment horizontal="center"/>
    </xf>
    <xf numFmtId="0" fontId="1" fillId="0" borderId="17" xfId="0" applyFont="1" applyBorder="1"/>
    <xf numFmtId="0" fontId="17" fillId="5" borderId="3" xfId="0" applyFont="1" applyFill="1" applyBorder="1" applyAlignment="1">
      <alignment horizontal="center" vertical="top"/>
    </xf>
    <xf numFmtId="0" fontId="17" fillId="5" borderId="21" xfId="0" applyFont="1" applyFill="1" applyBorder="1" applyAlignment="1">
      <alignment horizontal="center" vertical="top"/>
    </xf>
    <xf numFmtId="0" fontId="17" fillId="5" borderId="22" xfId="0" applyFont="1" applyFill="1" applyBorder="1" applyAlignment="1">
      <alignment horizontal="center" vertical="top"/>
    </xf>
    <xf numFmtId="0" fontId="19" fillId="4" borderId="6" xfId="0" applyFont="1" applyFill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wrapText="1"/>
    </xf>
    <xf numFmtId="0" fontId="25" fillId="8" borderId="12" xfId="0" applyFont="1" applyFill="1" applyBorder="1" applyAlignment="1">
      <alignment wrapText="1"/>
    </xf>
  </cellXfs>
  <cellStyles count="2">
    <cellStyle name="Normal" xfId="0" builtinId="0"/>
    <cellStyle name="Normal 2" xfId="1" xr:uid="{BE0ED590-0E5C-4245-8C57-13A688201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784860</xdr:colOff>
      <xdr:row>0</xdr:row>
      <xdr:rowOff>0</xdr:rowOff>
    </xdr:from>
    <xdr:to>
      <xdr:col>6</xdr:col>
      <xdr:colOff>14732</xdr:colOff>
      <xdr:row>1</xdr:row>
      <xdr:rowOff>220980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67FF2DE-5F0F-4716-AAB4-6A5DE9E9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280" y="0"/>
          <a:ext cx="837692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784860</xdr:colOff>
      <xdr:row>24</xdr:row>
      <xdr:rowOff>0</xdr:rowOff>
    </xdr:from>
    <xdr:ext cx="837692" cy="777240"/>
    <xdr:pic>
      <xdr:nvPicPr>
        <xdr:cNvPr id="5" name="Image 4">
          <a:extLst>
            <a:ext uri="{FF2B5EF4-FFF2-40B4-BE49-F238E27FC236}">
              <a16:creationId xmlns:a16="http://schemas.microsoft.com/office/drawing/2014/main" id="{F0698809-F2A0-4BC7-AB4F-4EB8A1D5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4280" y="0"/>
          <a:ext cx="837692" cy="777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5A88-830C-4DD4-9543-C800DD128E60}">
  <sheetPr>
    <tabColor rgb="FF7030A0"/>
    <pageSetUpPr fitToPage="1"/>
  </sheetPr>
  <dimension ref="A1:U720"/>
  <sheetViews>
    <sheetView tabSelected="1" topLeftCell="A23" zoomScaleNormal="100" workbookViewId="0">
      <selection activeCell="B26" sqref="B26"/>
    </sheetView>
  </sheetViews>
  <sheetFormatPr defaultColWidth="12.625" defaultRowHeight="14.45"/>
  <cols>
    <col min="1" max="1" width="0.625" style="1" customWidth="1"/>
    <col min="2" max="2" width="66.125" style="1" customWidth="1"/>
    <col min="3" max="3" width="11.75" style="1" customWidth="1"/>
    <col min="4" max="5" width="10.75" style="1" customWidth="1"/>
    <col min="6" max="6" width="10.375" style="1" customWidth="1"/>
    <col min="7" max="21" width="9.125" style="1" customWidth="1"/>
    <col min="22" max="16384" width="12.625" style="1"/>
  </cols>
  <sheetData>
    <row r="1" spans="1:21" s="2" customFormat="1" ht="44.25" customHeight="1">
      <c r="A1" s="3"/>
      <c r="B1" s="56" t="s">
        <v>0</v>
      </c>
      <c r="C1" s="57"/>
      <c r="D1" s="57"/>
      <c r="E1" s="57"/>
      <c r="F1" s="5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5" customFormat="1" ht="29.45" customHeight="1">
      <c r="A2" s="38"/>
      <c r="B2" s="25" t="s">
        <v>1</v>
      </c>
      <c r="C2" s="59"/>
      <c r="D2" s="60"/>
      <c r="E2" s="60"/>
      <c r="F2" s="61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s="30" customFormat="1" ht="29.45" customHeight="1">
      <c r="B3" s="34" t="s">
        <v>2</v>
      </c>
      <c r="C3" s="31"/>
      <c r="D3" s="32"/>
      <c r="E3" s="32"/>
      <c r="F3" s="33"/>
    </row>
    <row r="4" spans="1:21" s="8" customFormat="1" ht="31.15" customHeight="1">
      <c r="B4" s="21" t="s">
        <v>3</v>
      </c>
      <c r="C4" s="22" t="s">
        <v>4</v>
      </c>
      <c r="D4" s="22" t="s">
        <v>5</v>
      </c>
      <c r="E4" s="22" t="s">
        <v>6</v>
      </c>
      <c r="F4" s="23" t="s">
        <v>7</v>
      </c>
    </row>
    <row r="5" spans="1:21" ht="19.149999999999999" customHeight="1">
      <c r="A5" s="38"/>
      <c r="B5" s="10" t="s">
        <v>8</v>
      </c>
      <c r="C5" s="7"/>
      <c r="D5" s="7"/>
      <c r="E5" s="7"/>
      <c r="F5" s="11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ht="22.15" customHeight="1">
      <c r="A6" s="29"/>
      <c r="B6" s="12" t="s">
        <v>9</v>
      </c>
      <c r="C6" s="39"/>
      <c r="D6" s="6"/>
      <c r="E6" s="39"/>
      <c r="F6" s="13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36" customHeight="1">
      <c r="A7" s="29"/>
      <c r="B7" s="14" t="s">
        <v>10</v>
      </c>
      <c r="C7" s="39"/>
      <c r="D7" s="6"/>
      <c r="E7" s="39"/>
      <c r="F7" s="13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ht="20.45" customHeight="1">
      <c r="A8" s="29"/>
      <c r="B8" s="14" t="s">
        <v>11</v>
      </c>
      <c r="C8" s="39"/>
      <c r="D8" s="6"/>
      <c r="E8" s="39"/>
      <c r="F8" s="13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20.45" customHeight="1">
      <c r="A9" s="29"/>
      <c r="B9" s="15" t="s">
        <v>12</v>
      </c>
      <c r="C9" s="4"/>
      <c r="D9" s="4"/>
      <c r="E9" s="4"/>
      <c r="F9" s="16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ht="36" customHeight="1">
      <c r="A10" s="29"/>
      <c r="B10" s="17" t="s">
        <v>13</v>
      </c>
      <c r="C10" s="39"/>
      <c r="D10" s="6"/>
      <c r="E10" s="39"/>
      <c r="F10" s="13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ht="43.15" customHeight="1">
      <c r="A11" s="29"/>
      <c r="B11" s="18" t="s">
        <v>14</v>
      </c>
      <c r="C11" s="39"/>
      <c r="D11" s="6"/>
      <c r="E11" s="39"/>
      <c r="F11" s="13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23.45" customHeight="1">
      <c r="A12" s="29"/>
      <c r="B12" s="17" t="s">
        <v>15</v>
      </c>
      <c r="C12" s="39"/>
      <c r="D12" s="6"/>
      <c r="E12" s="39"/>
      <c r="F12" s="13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19.899999999999999" customHeight="1">
      <c r="A13" s="29"/>
      <c r="B13" s="15" t="s">
        <v>16</v>
      </c>
      <c r="C13" s="4"/>
      <c r="D13" s="4"/>
      <c r="E13" s="4"/>
      <c r="F13" s="1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19.899999999999999" customHeight="1">
      <c r="A14" s="29"/>
      <c r="B14" s="17" t="s">
        <v>17</v>
      </c>
      <c r="C14" s="39"/>
      <c r="D14" s="6"/>
      <c r="E14" s="39"/>
      <c r="F14" s="13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19.899999999999999" customHeight="1">
      <c r="A15" s="29"/>
      <c r="B15" s="17" t="s">
        <v>18</v>
      </c>
      <c r="C15" s="39"/>
      <c r="D15" s="6"/>
      <c r="E15" s="39"/>
      <c r="F15" s="13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36" customHeight="1">
      <c r="A16" s="29"/>
      <c r="B16" s="17" t="s">
        <v>19</v>
      </c>
      <c r="C16" s="39"/>
      <c r="D16" s="6"/>
      <c r="E16" s="39"/>
      <c r="F16" s="13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ht="21" customHeight="1">
      <c r="A17" s="29"/>
      <c r="B17" s="17" t="s">
        <v>20</v>
      </c>
      <c r="C17" s="39"/>
      <c r="D17" s="6"/>
      <c r="E17" s="39"/>
      <c r="F17" s="13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ht="21" customHeight="1">
      <c r="A18" s="29"/>
      <c r="B18" s="17"/>
      <c r="C18" s="40">
        <f>SUM(C6:C17)</f>
        <v>0</v>
      </c>
      <c r="D18" s="40">
        <f>SUM(D6:D17)</f>
        <v>0</v>
      </c>
      <c r="E18" s="40">
        <f>SUM(E6:E17)</f>
        <v>0</v>
      </c>
      <c r="F18" s="41">
        <f>SUM(F6:F17)</f>
        <v>0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s="9" customFormat="1" ht="14.45" customHeight="1">
      <c r="A19" s="29"/>
      <c r="B19" s="19" t="s">
        <v>21</v>
      </c>
      <c r="C19" s="50">
        <f>SUM(C18:F18)</f>
        <v>0</v>
      </c>
      <c r="D19" s="51"/>
      <c r="E19" s="51"/>
      <c r="F19" s="52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8" customHeight="1">
      <c r="A20" s="29"/>
      <c r="B20" s="24" t="s">
        <v>22</v>
      </c>
      <c r="C20" s="53">
        <f>C19/5</f>
        <v>0</v>
      </c>
      <c r="D20" s="54"/>
      <c r="E20" s="54"/>
      <c r="F20" s="55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14.25" customHeight="1" thickBot="1">
      <c r="A21" s="29"/>
      <c r="B21" s="42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14.25" customHeight="1">
      <c r="A22" s="29"/>
      <c r="B22" s="20" t="s">
        <v>23</v>
      </c>
      <c r="C22" s="43"/>
      <c r="D22" s="43"/>
      <c r="E22" s="43"/>
      <c r="F22" s="44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ht="87" customHeight="1" thickBot="1">
      <c r="A23" s="29"/>
      <c r="B23" s="45"/>
      <c r="C23" s="46"/>
      <c r="D23" s="46"/>
      <c r="E23" s="46"/>
      <c r="F23" s="47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 ht="64.5" customHeight="1" thickBot="1">
      <c r="A24" s="29"/>
      <c r="B24" s="42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s="2" customFormat="1" ht="44.25" customHeight="1">
      <c r="A25" s="3"/>
      <c r="B25" s="56" t="s">
        <v>0</v>
      </c>
      <c r="C25" s="57"/>
      <c r="D25" s="57"/>
      <c r="E25" s="57"/>
      <c r="F25" s="5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s="5" customFormat="1" ht="69" customHeight="1">
      <c r="A26" s="38"/>
      <c r="B26" s="63" t="s">
        <v>24</v>
      </c>
      <c r="C26" s="59"/>
      <c r="D26" s="60"/>
      <c r="E26" s="60"/>
      <c r="F26" s="61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</row>
    <row r="27" spans="1:21" ht="17.45" customHeight="1">
      <c r="A27" s="48"/>
      <c r="B27" s="34" t="s">
        <v>25</v>
      </c>
      <c r="C27" s="35"/>
      <c r="D27" s="36"/>
      <c r="E27" s="36"/>
      <c r="F27" s="37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</row>
    <row r="28" spans="1:21" ht="31.15" customHeight="1">
      <c r="A28" s="29"/>
      <c r="B28" s="21" t="s">
        <v>26</v>
      </c>
      <c r="C28" s="22" t="s">
        <v>4</v>
      </c>
      <c r="D28" s="22" t="s">
        <v>5</v>
      </c>
      <c r="E28" s="22" t="s">
        <v>6</v>
      </c>
      <c r="F28" s="23" t="s">
        <v>7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ht="27.75" customHeight="1">
      <c r="A29" s="29"/>
      <c r="B29" s="17" t="s">
        <v>27</v>
      </c>
      <c r="C29" s="39"/>
      <c r="D29" s="6"/>
      <c r="E29" s="39"/>
      <c r="F29" s="13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s="29" customFormat="1" ht="29.25" customHeight="1">
      <c r="B30" s="18" t="s">
        <v>28</v>
      </c>
      <c r="C30" s="26"/>
      <c r="D30" s="27"/>
      <c r="E30" s="26"/>
      <c r="F30" s="28"/>
    </row>
    <row r="31" spans="1:21" ht="32.25" customHeight="1">
      <c r="A31" s="29"/>
      <c r="B31" s="17" t="s">
        <v>29</v>
      </c>
      <c r="C31" s="39"/>
      <c r="D31" s="6"/>
      <c r="E31" s="39"/>
      <c r="F31" s="13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29.25" customHeight="1">
      <c r="A32" s="29"/>
      <c r="B32" s="17" t="s">
        <v>30</v>
      </c>
      <c r="C32" s="39"/>
      <c r="D32" s="6"/>
      <c r="E32" s="39"/>
      <c r="F32" s="13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24.75" customHeight="1">
      <c r="A33" s="29"/>
      <c r="B33" s="17" t="s">
        <v>31</v>
      </c>
      <c r="C33" s="39"/>
      <c r="D33" s="6"/>
      <c r="E33" s="39"/>
      <c r="F33" s="13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4.25" customHeight="1">
      <c r="A34" s="29"/>
      <c r="B34" s="49"/>
      <c r="C34" s="40">
        <f>SUM(C29:C33)</f>
        <v>0</v>
      </c>
      <c r="D34" s="40">
        <f>SUM(D29:D33)</f>
        <v>0</v>
      </c>
      <c r="E34" s="40">
        <f>SUM(E29:E33)</f>
        <v>0</v>
      </c>
      <c r="F34" s="41">
        <f>SUM(F29:F33)</f>
        <v>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4.25" customHeight="1">
      <c r="A35" s="29"/>
      <c r="B35" s="19" t="s">
        <v>32</v>
      </c>
      <c r="C35" s="50">
        <f>SUM(C34:F34)</f>
        <v>0</v>
      </c>
      <c r="D35" s="51"/>
      <c r="E35" s="51"/>
      <c r="F35" s="52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4.25" customHeight="1">
      <c r="A36" s="29"/>
      <c r="B36" s="24" t="s">
        <v>22</v>
      </c>
      <c r="C36" s="53">
        <f>C35/50*20</f>
        <v>0</v>
      </c>
      <c r="D36" s="54"/>
      <c r="E36" s="54"/>
      <c r="F36" s="55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4.25" customHeight="1">
      <c r="A37" s="29"/>
      <c r="B37" s="42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4.25" customHeight="1">
      <c r="A38" s="29"/>
      <c r="B38" s="20" t="s">
        <v>33</v>
      </c>
      <c r="C38" s="43"/>
      <c r="D38" s="43"/>
      <c r="E38" s="43"/>
      <c r="F38" s="44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79.25" customHeight="1">
      <c r="A39" s="29"/>
      <c r="B39" s="62" t="s">
        <v>34</v>
      </c>
      <c r="C39" s="46"/>
      <c r="D39" s="46"/>
      <c r="E39" s="46"/>
      <c r="F39" s="47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ht="14.25" customHeight="1">
      <c r="A40" s="29"/>
      <c r="B40" s="42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14.25" customHeight="1">
      <c r="A41" s="29"/>
      <c r="B41" s="42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spans="1:21" ht="14.25" customHeight="1">
      <c r="A42" s="29"/>
      <c r="B42" s="42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spans="1:21" ht="14.25" customHeight="1">
      <c r="A43" s="29"/>
      <c r="B43" s="4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spans="1:21" ht="14.25" customHeight="1">
      <c r="A44" s="29"/>
      <c r="B44" s="42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4.25" customHeight="1">
      <c r="A45" s="29"/>
      <c r="B45" s="42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spans="1:21" ht="14.25" customHeight="1">
      <c r="A46" s="29"/>
      <c r="B46" s="42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spans="1:21" ht="14.25" customHeight="1">
      <c r="A47" s="29"/>
      <c r="B47" s="42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spans="1:21" ht="14.25" customHeight="1">
      <c r="A48" s="29"/>
      <c r="B48" s="4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14.25" customHeight="1">
      <c r="A49" s="29"/>
      <c r="B49" s="42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spans="1:21" ht="14.25" customHeight="1">
      <c r="A50" s="29"/>
      <c r="B50" s="4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spans="1:21" ht="14.25" customHeight="1">
      <c r="A51" s="29"/>
      <c r="B51" s="42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spans="1:21" ht="14.25" customHeight="1">
      <c r="A52" s="29"/>
      <c r="B52" s="42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1:21" ht="14.25" customHeight="1">
      <c r="A53" s="29"/>
      <c r="B53" s="42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spans="1:21" ht="14.25" customHeight="1">
      <c r="A54" s="29"/>
      <c r="B54" s="42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spans="1:21" ht="14.25" customHeight="1">
      <c r="A55" s="29"/>
      <c r="B55" s="42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spans="1:21" ht="14.25" customHeight="1">
      <c r="A56" s="29"/>
      <c r="B56" s="42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spans="1:21" ht="14.25" customHeight="1">
      <c r="A57" s="29"/>
      <c r="B57" s="4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21" ht="14.25" customHeight="1">
      <c r="A58" s="29"/>
      <c r="B58" s="42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spans="1:21" ht="14.25" customHeight="1">
      <c r="A59" s="29"/>
      <c r="B59" s="42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spans="1:21" ht="14.25" customHeight="1">
      <c r="A60" s="29"/>
      <c r="B60" s="42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spans="1:21" ht="14.25" customHeight="1">
      <c r="A61" s="29"/>
      <c r="B61" s="42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spans="1:21" ht="14.25" customHeight="1">
      <c r="A62" s="29"/>
      <c r="B62" s="42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spans="1:21" ht="14.25" customHeight="1">
      <c r="A63" s="29"/>
      <c r="B63" s="42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21" ht="14.25" customHeight="1">
      <c r="A64" s="29"/>
      <c r="B64" s="42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spans="1:21" ht="14.25" customHeight="1">
      <c r="A65" s="29"/>
      <c r="B65" s="42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spans="1:21" ht="14.25" customHeight="1">
      <c r="A66" s="29"/>
      <c r="B66" s="4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ht="14.25" customHeight="1">
      <c r="A67" s="29"/>
      <c r="B67" s="42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21" ht="14.25" customHeight="1">
      <c r="A68" s="29"/>
      <c r="B68" s="42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ht="14.25" customHeight="1">
      <c r="A69" s="29"/>
      <c r="B69" s="4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ht="14.25" customHeight="1">
      <c r="A70" s="29"/>
      <c r="B70" s="42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21" ht="14.25" customHeight="1">
      <c r="A71" s="29"/>
      <c r="B71" s="42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spans="1:21" ht="14.25" customHeight="1">
      <c r="A72" s="29"/>
      <c r="B72" s="42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spans="1:21" ht="14.25" customHeight="1">
      <c r="A73" s="29"/>
      <c r="B73" s="42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spans="1:21" ht="14.25" customHeight="1">
      <c r="A74" s="29"/>
      <c r="B74" s="4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spans="1:21" ht="14.25" customHeight="1">
      <c r="A75" s="29"/>
      <c r="B75" s="42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spans="1:21" ht="14.25" customHeight="1">
      <c r="A76" s="29"/>
      <c r="B76" s="42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spans="1:21" ht="14.25" customHeight="1">
      <c r="A77" s="29"/>
      <c r="B77" s="42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spans="1:21" ht="14.25" customHeight="1">
      <c r="A78" s="29"/>
      <c r="B78" s="42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1" ht="14.25" customHeight="1">
      <c r="A79" s="29"/>
      <c r="B79" s="42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spans="1:21" ht="14.25" customHeight="1">
      <c r="A80" s="29"/>
      <c r="B80" s="42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spans="1:21" ht="14.25" customHeight="1">
      <c r="A81" s="29"/>
      <c r="B81" s="42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spans="1:21" ht="14.25" customHeight="1">
      <c r="A82" s="29"/>
      <c r="B82" s="42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spans="1:21" ht="14.25" customHeight="1">
      <c r="A83" s="29"/>
      <c r="B83" s="42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spans="1:21" ht="14.25" customHeight="1">
      <c r="A84" s="29"/>
      <c r="B84" s="4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14.25" customHeight="1">
      <c r="A85" s="29"/>
      <c r="B85" s="42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spans="1:21" ht="14.25" customHeight="1">
      <c r="A86" s="29"/>
      <c r="B86" s="42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spans="1:21" ht="14.25" customHeight="1">
      <c r="A87" s="29"/>
      <c r="B87" s="42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spans="1:21" ht="14.25" customHeight="1">
      <c r="A88" s="29"/>
      <c r="B88" s="42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spans="1:21" ht="14.25" customHeight="1">
      <c r="A89" s="29"/>
      <c r="B89" s="42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spans="1:21" ht="14.25" customHeight="1">
      <c r="A90" s="29"/>
      <c r="B90" s="42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spans="1:21" ht="14.25" customHeight="1">
      <c r="A91" s="29"/>
      <c r="B91" s="42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spans="1:21" ht="14.25" customHeight="1">
      <c r="A92" s="29"/>
      <c r="B92" s="42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spans="1:21" ht="14.25" customHeight="1">
      <c r="A93" s="29"/>
      <c r="B93" s="42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spans="1:21" ht="14.25" customHeight="1">
      <c r="A94" s="29"/>
      <c r="B94" s="42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spans="1:21" ht="14.25" customHeight="1">
      <c r="A95" s="29"/>
      <c r="B95" s="42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spans="1:21" ht="14.25" customHeight="1">
      <c r="A96" s="29"/>
      <c r="B96" s="42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spans="1:21" ht="14.25" customHeight="1">
      <c r="A97" s="29"/>
      <c r="B97" s="42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spans="1:21" ht="14.25" customHeight="1">
      <c r="A98" s="29"/>
      <c r="B98" s="42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spans="1:21" ht="14.25" customHeight="1">
      <c r="A99" s="29"/>
      <c r="B99" s="42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spans="1:21" ht="14.25" customHeight="1">
      <c r="A100" s="29"/>
      <c r="B100" s="42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spans="1:21" ht="14.25" customHeight="1">
      <c r="A101" s="29"/>
      <c r="B101" s="42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spans="1:21" ht="14.25" customHeight="1">
      <c r="A102" s="29"/>
      <c r="B102" s="42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spans="1:21" ht="14.25" customHeight="1">
      <c r="A103" s="29"/>
      <c r="B103" s="42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spans="1:21" ht="14.25" customHeight="1">
      <c r="A104" s="29"/>
      <c r="B104" s="42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spans="1:21" ht="14.25" customHeight="1">
      <c r="A105" s="29"/>
      <c r="B105" s="4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spans="1:21" ht="14.25" customHeight="1">
      <c r="A106" s="29"/>
      <c r="B106" s="42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spans="1:21" ht="14.25" customHeight="1">
      <c r="A107" s="29"/>
      <c r="B107" s="42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spans="1:21" ht="14.25" customHeight="1">
      <c r="A108" s="29"/>
      <c r="B108" s="42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spans="1:21" ht="14.25" customHeight="1">
      <c r="A109" s="29"/>
      <c r="B109" s="42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spans="1:21" ht="14.25" customHeight="1">
      <c r="A110" s="29"/>
      <c r="B110" s="42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spans="1:21" ht="14.25" customHeight="1">
      <c r="A111" s="29"/>
      <c r="B111" s="42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spans="1:21" ht="14.25" customHeight="1">
      <c r="A112" s="29"/>
      <c r="B112" s="42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4.25" customHeight="1">
      <c r="A113" s="29"/>
      <c r="B113" s="42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spans="1:21" ht="14.25" customHeight="1">
      <c r="A114" s="29"/>
      <c r="B114" s="42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spans="1:21" ht="14.25" customHeight="1">
      <c r="A115" s="29"/>
      <c r="B115" s="42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spans="1:21" ht="14.25" customHeight="1">
      <c r="A116" s="29"/>
      <c r="B116" s="42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spans="1:21" ht="14.25" customHeight="1">
      <c r="A117" s="29"/>
      <c r="B117" s="42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spans="1:21" ht="14.25" customHeight="1">
      <c r="A118" s="29"/>
      <c r="B118" s="42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spans="1:21" ht="14.25" customHeight="1">
      <c r="A119" s="29"/>
      <c r="B119" s="42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spans="1:21" ht="14.25" customHeight="1">
      <c r="A120" s="29"/>
      <c r="B120" s="42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spans="1:21" ht="14.25" customHeight="1">
      <c r="A121" s="29"/>
      <c r="B121" s="42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spans="1:21" ht="14.25" customHeight="1">
      <c r="A122" s="29"/>
      <c r="B122" s="42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spans="1:21" ht="14.25" customHeight="1">
      <c r="A123" s="29"/>
      <c r="B123" s="4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spans="1:21" ht="14.25" customHeight="1">
      <c r="A124" s="29"/>
      <c r="B124" s="42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spans="1:21" ht="14.25" customHeight="1">
      <c r="A125" s="29"/>
      <c r="B125" s="4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spans="1:21" ht="14.25" customHeight="1">
      <c r="A126" s="29"/>
      <c r="B126" s="42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spans="1:21" ht="14.25" customHeight="1">
      <c r="A127" s="29"/>
      <c r="B127" s="4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spans="1:21" ht="14.25" customHeight="1">
      <c r="A128" s="29"/>
      <c r="B128" s="42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spans="1:21" ht="14.25" customHeight="1">
      <c r="A129" s="29"/>
      <c r="B129" s="42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spans="1:21" ht="14.25" customHeight="1">
      <c r="A130" s="29"/>
      <c r="B130" s="4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4.25" customHeight="1">
      <c r="A131" s="29"/>
      <c r="B131" s="42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spans="1:21" ht="14.25" customHeight="1">
      <c r="A132" s="29"/>
      <c r="B132" s="4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spans="1:21" ht="14.25" customHeight="1">
      <c r="A133" s="29"/>
      <c r="B133" s="42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spans="1:21" ht="14.25" customHeight="1">
      <c r="A134" s="29"/>
      <c r="B134" s="42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4.25" customHeight="1">
      <c r="A135" s="29"/>
      <c r="B135" s="42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spans="1:21" ht="14.25" customHeight="1">
      <c r="A136" s="29"/>
      <c r="B136" s="42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spans="1:21" ht="14.25" customHeight="1">
      <c r="A137" s="29"/>
      <c r="B137" s="42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spans="1:21" ht="14.25" customHeight="1">
      <c r="A138" s="29"/>
      <c r="B138" s="42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spans="1:21" ht="14.25" customHeight="1">
      <c r="A139" s="29"/>
      <c r="B139" s="42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spans="1:21" ht="14.25" customHeight="1">
      <c r="A140" s="29"/>
      <c r="B140" s="42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spans="1:21" ht="14.25" customHeight="1">
      <c r="A141" s="29"/>
      <c r="B141" s="42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spans="1:21" ht="14.25" customHeight="1">
      <c r="A142" s="29"/>
      <c r="B142" s="42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spans="1:21" ht="14.25" customHeight="1">
      <c r="A143" s="29"/>
      <c r="B143" s="42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spans="1:21" ht="14.25" customHeight="1">
      <c r="A144" s="29"/>
      <c r="B144" s="42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spans="1:21" ht="14.25" customHeight="1">
      <c r="A145" s="29"/>
      <c r="B145" s="42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spans="1:21" ht="14.25" customHeight="1">
      <c r="A146" s="29"/>
      <c r="B146" s="42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spans="1:21" ht="14.25" customHeight="1">
      <c r="A147" s="29"/>
      <c r="B147" s="42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spans="1:21" ht="14.25" customHeight="1">
      <c r="A148" s="29"/>
      <c r="B148" s="42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spans="1:21" ht="14.25" customHeight="1">
      <c r="A149" s="29"/>
      <c r="B149" s="42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spans="1:21" ht="14.25" customHeight="1">
      <c r="A150" s="29"/>
      <c r="B150" s="42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1" ht="14.25" customHeight="1">
      <c r="A151" s="29"/>
      <c r="B151" s="42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spans="1:21" ht="14.25" customHeight="1">
      <c r="A152" s="29"/>
      <c r="B152" s="42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4.25" customHeight="1">
      <c r="A153" s="29"/>
      <c r="B153" s="42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spans="1:21" ht="14.25" customHeight="1">
      <c r="A154" s="29"/>
      <c r="B154" s="42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spans="1:21" ht="14.25" customHeight="1">
      <c r="A155" s="29"/>
      <c r="B155" s="42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spans="1:21" ht="14.25" customHeight="1">
      <c r="A156" s="29"/>
      <c r="B156" s="4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spans="1:21" ht="14.25" customHeight="1">
      <c r="A157" s="29"/>
      <c r="B157" s="42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spans="1:21" ht="14.25" customHeight="1">
      <c r="A158" s="29"/>
      <c r="B158" s="42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spans="1:21" ht="14.25" customHeight="1">
      <c r="A159" s="29"/>
      <c r="B159" s="42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spans="1:21" ht="14.25" customHeight="1">
      <c r="A160" s="29"/>
      <c r="B160" s="42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ht="14.25" customHeight="1">
      <c r="A161" s="29"/>
      <c r="B161" s="42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spans="1:21" ht="14.25" customHeight="1">
      <c r="A162" s="29"/>
      <c r="B162" s="42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spans="1:21" ht="14.25" customHeight="1">
      <c r="A163" s="29"/>
      <c r="B163" s="42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spans="1:21" ht="14.25" customHeight="1">
      <c r="A164" s="29"/>
      <c r="B164" s="42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4.25" customHeight="1">
      <c r="A165" s="29"/>
      <c r="B165" s="42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spans="1:21" ht="14.25" customHeight="1">
      <c r="A166" s="29"/>
      <c r="B166" s="42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spans="1:21" ht="14.25" customHeight="1">
      <c r="A167" s="29"/>
      <c r="B167" s="42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spans="1:21" ht="14.25" customHeight="1">
      <c r="A168" s="29"/>
      <c r="B168" s="42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spans="1:21" ht="14.25" customHeight="1">
      <c r="A169" s="29"/>
      <c r="B169" s="42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spans="1:21" ht="14.25" customHeight="1">
      <c r="A170" s="29"/>
      <c r="B170" s="42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spans="1:21" ht="14.25" customHeight="1">
      <c r="A171" s="29"/>
      <c r="B171" s="42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spans="1:21" ht="14.25" customHeight="1">
      <c r="A172" s="29"/>
      <c r="B172" s="42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spans="1:21" ht="14.25" customHeight="1">
      <c r="A173" s="29"/>
      <c r="B173" s="42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spans="1:21" ht="14.25" customHeight="1">
      <c r="A174" s="29"/>
      <c r="B174" s="42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spans="1:21" ht="14.25" customHeight="1">
      <c r="A175" s="29"/>
      <c r="B175" s="42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4.25" customHeight="1">
      <c r="A176" s="29"/>
      <c r="B176" s="42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spans="1:21" ht="14.25" customHeight="1">
      <c r="A177" s="29"/>
      <c r="B177" s="42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spans="1:21" ht="14.25" customHeight="1">
      <c r="A178" s="29"/>
      <c r="B178" s="42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spans="1:21" ht="14.25" customHeight="1">
      <c r="A179" s="29"/>
      <c r="B179" s="42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spans="1:21" ht="14.25" customHeight="1">
      <c r="A180" s="29"/>
      <c r="B180" s="42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spans="1:21" ht="14.25" customHeight="1">
      <c r="A181" s="29"/>
      <c r="B181" s="4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spans="1:21" ht="14.25" customHeight="1">
      <c r="A182" s="29"/>
      <c r="B182" s="42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spans="1:21" ht="14.25" customHeight="1">
      <c r="A183" s="29"/>
      <c r="B183" s="42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spans="1:21" ht="14.25" customHeight="1">
      <c r="A184" s="29"/>
      <c r="B184" s="4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spans="1:21" ht="14.25" customHeight="1">
      <c r="A185" s="29"/>
      <c r="B185" s="42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spans="1:21" ht="14.25" customHeight="1">
      <c r="A186" s="29"/>
      <c r="B186" s="4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4.25" customHeight="1">
      <c r="A187" s="29"/>
      <c r="B187" s="42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spans="1:21" ht="14.25" customHeight="1">
      <c r="A188" s="29"/>
      <c r="B188" s="42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spans="1:21" ht="14.25" customHeight="1">
      <c r="A189" s="29"/>
      <c r="B189" s="4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spans="1:21" ht="14.25" customHeight="1">
      <c r="A190" s="29"/>
      <c r="B190" s="42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4.25" customHeight="1">
      <c r="A191" s="29"/>
      <c r="B191" s="4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4.25" customHeight="1">
      <c r="A192" s="29"/>
      <c r="B192" s="42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spans="1:21" ht="14.25" customHeight="1">
      <c r="A193" s="29"/>
      <c r="B193" s="42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spans="1:21" ht="14.25" customHeight="1">
      <c r="A194" s="29"/>
      <c r="B194" s="42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1:21" ht="14.25" customHeight="1">
      <c r="A195" s="29"/>
      <c r="B195" s="42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spans="1:21" ht="14.25" customHeight="1">
      <c r="A196" s="29"/>
      <c r="B196" s="42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spans="1:21" ht="14.25" customHeight="1">
      <c r="A197" s="29"/>
      <c r="B197" s="42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spans="1:21" ht="14.25" customHeight="1">
      <c r="A198" s="29"/>
      <c r="B198" s="42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1:21" ht="14.25" customHeight="1">
      <c r="A199" s="29"/>
      <c r="B199" s="42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spans="1:21" ht="14.25" customHeight="1">
      <c r="A200" s="29"/>
      <c r="B200" s="42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pans="1:21" ht="14.25" customHeight="1">
      <c r="A201" s="29"/>
      <c r="B201" s="42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ht="14.25" customHeight="1">
      <c r="A202" s="29"/>
      <c r="B202" s="42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spans="1:21" ht="14.25" customHeight="1">
      <c r="A203" s="29"/>
      <c r="B203" s="42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spans="1:21" ht="14.25" customHeight="1">
      <c r="A204" s="29"/>
      <c r="B204" s="42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4.25" customHeight="1">
      <c r="A205" s="29"/>
      <c r="B205" s="42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spans="1:21" ht="14.25" customHeight="1">
      <c r="A206" s="29"/>
      <c r="B206" s="42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spans="1:21" ht="14.25" customHeight="1">
      <c r="A207" s="29"/>
      <c r="B207" s="42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spans="1:21" ht="14.25" customHeight="1">
      <c r="A208" s="29"/>
      <c r="B208" s="42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spans="1:21" ht="14.25" customHeight="1">
      <c r="A209" s="29"/>
      <c r="B209" s="42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spans="1:21" ht="14.25" customHeight="1">
      <c r="A210" s="29"/>
      <c r="B210" s="42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spans="1:21" ht="14.25" customHeight="1">
      <c r="A211" s="29"/>
      <c r="B211" s="42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spans="1:21" ht="14.25" customHeight="1">
      <c r="A212" s="29"/>
      <c r="B212" s="42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spans="1:21" ht="14.25" customHeight="1">
      <c r="A213" s="29"/>
      <c r="B213" s="42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spans="1:21" ht="14.25" customHeight="1">
      <c r="A214" s="29"/>
      <c r="B214" s="42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spans="1:21" ht="14.25" customHeight="1">
      <c r="A215" s="29"/>
      <c r="B215" s="42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spans="1:21" ht="14.25" customHeight="1">
      <c r="A216" s="29"/>
      <c r="B216" s="42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spans="1:21" ht="14.25" customHeight="1">
      <c r="A217" s="29"/>
      <c r="B217" s="42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spans="1:21" ht="14.25" customHeight="1">
      <c r="A218" s="29"/>
      <c r="B218" s="42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spans="1:21" ht="14.25" customHeight="1">
      <c r="A219" s="29"/>
      <c r="B219" s="42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spans="1:21" ht="14.25" customHeight="1">
      <c r="A220" s="29"/>
      <c r="B220" s="42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spans="1:21" ht="14.25" customHeight="1">
      <c r="A221" s="29"/>
      <c r="B221" s="42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spans="1:21" ht="14.25" customHeight="1">
      <c r="A222" s="29"/>
      <c r="B222" s="42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spans="1:21" ht="14.25" customHeight="1">
      <c r="A223" s="29"/>
      <c r="B223" s="42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spans="1:21" ht="14.25" customHeight="1">
      <c r="A224" s="29"/>
      <c r="B224" s="42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spans="1:21" ht="14.25" customHeight="1">
      <c r="A225" s="29"/>
      <c r="B225" s="42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spans="1:21" ht="14.25" customHeight="1">
      <c r="A226" s="29"/>
      <c r="B226" s="42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spans="1:21" ht="14.25" customHeight="1">
      <c r="A227" s="29"/>
      <c r="B227" s="42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spans="1:21" ht="14.25" customHeight="1">
      <c r="A228" s="29"/>
      <c r="B228" s="42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spans="1:21" ht="14.25" customHeight="1">
      <c r="A229" s="29"/>
      <c r="B229" s="42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4.25" customHeight="1">
      <c r="A230" s="29"/>
      <c r="B230" s="42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spans="1:21" ht="14.25" customHeight="1">
      <c r="A231" s="29"/>
      <c r="B231" s="42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spans="1:21" ht="14.25" customHeight="1">
      <c r="A232" s="29"/>
      <c r="B232" s="42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spans="1:21" ht="14.25" customHeight="1">
      <c r="A233" s="29"/>
      <c r="B233" s="42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spans="1:21" ht="14.25" customHeight="1">
      <c r="A234" s="29"/>
      <c r="B234" s="42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spans="1:21" ht="14.25" customHeight="1">
      <c r="A235" s="29"/>
      <c r="B235" s="42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spans="1:21" ht="14.25" customHeight="1">
      <c r="A236" s="29"/>
      <c r="B236" s="42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spans="1:21" ht="14.25" customHeight="1">
      <c r="A237" s="29"/>
      <c r="B237" s="4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spans="1:21" ht="14.25" customHeight="1">
      <c r="A238" s="29"/>
      <c r="B238" s="42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spans="1:21" ht="14.25" customHeight="1">
      <c r="A239" s="29"/>
      <c r="B239" s="42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spans="1:21" ht="14.25" customHeight="1">
      <c r="A240" s="29"/>
      <c r="B240" s="42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spans="1:21" ht="14.25" customHeight="1">
      <c r="A241" s="29"/>
      <c r="B241" s="4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spans="1:21" ht="14.25" customHeight="1">
      <c r="A242" s="29"/>
      <c r="B242" s="4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spans="1:21" ht="14.25" customHeight="1">
      <c r="A243" s="29"/>
      <c r="B243" s="42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spans="1:21" ht="14.25" customHeight="1">
      <c r="A244" s="29"/>
      <c r="B244" s="42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spans="1:21" ht="14.25" customHeight="1">
      <c r="A245" s="29"/>
      <c r="B245" s="42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spans="1:21" ht="14.25" customHeight="1">
      <c r="A246" s="29"/>
      <c r="B246" s="4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spans="1:21" ht="14.25" customHeight="1">
      <c r="A247" s="29"/>
      <c r="B247" s="42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spans="1:21" ht="14.25" customHeight="1">
      <c r="A248" s="29"/>
      <c r="B248" s="42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spans="1:21" ht="14.25" customHeight="1">
      <c r="A249" s="29"/>
      <c r="B249" s="42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spans="1:21" ht="14.25" customHeight="1">
      <c r="A250" s="29"/>
      <c r="B250" s="42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spans="1:21" ht="14.25" customHeight="1">
      <c r="A251" s="29"/>
      <c r="B251" s="42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spans="1:21" ht="14.25" customHeight="1">
      <c r="A252" s="29"/>
      <c r="B252" s="42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spans="1:21" ht="14.25" customHeight="1">
      <c r="A253" s="29"/>
      <c r="B253" s="42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spans="1:21" ht="14.25" customHeight="1">
      <c r="A254" s="29"/>
      <c r="B254" s="42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spans="1:21" ht="14.25" customHeight="1">
      <c r="A255" s="29"/>
      <c r="B255" s="42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spans="1:21" ht="14.25" customHeight="1">
      <c r="A256" s="29"/>
      <c r="B256" s="42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spans="1:21" ht="14.25" customHeight="1">
      <c r="A257" s="29"/>
      <c r="B257" s="42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spans="1:21" ht="14.25" customHeight="1">
      <c r="A258" s="29"/>
      <c r="B258" s="42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spans="1:21" ht="14.25" customHeight="1">
      <c r="A259" s="29"/>
      <c r="B259" s="42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spans="1:21" ht="14.25" customHeight="1">
      <c r="A260" s="29"/>
      <c r="B260" s="42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spans="1:21" ht="14.25" customHeight="1">
      <c r="A261" s="29"/>
      <c r="B261" s="42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spans="1:21" ht="14.25" customHeight="1">
      <c r="A262" s="29"/>
      <c r="B262" s="42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spans="1:21" ht="14.25" customHeight="1">
      <c r="A263" s="29"/>
      <c r="B263" s="42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spans="1:21" ht="14.25" customHeight="1">
      <c r="A264" s="29"/>
      <c r="B264" s="42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spans="1:21" ht="14.25" customHeight="1">
      <c r="A265" s="29"/>
      <c r="B265" s="42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spans="1:21" ht="14.25" customHeight="1">
      <c r="A266" s="29"/>
      <c r="B266" s="42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spans="1:21" ht="14.25" customHeight="1">
      <c r="A267" s="29"/>
      <c r="B267" s="42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spans="1:21" ht="14.25" customHeight="1">
      <c r="A268" s="29"/>
      <c r="B268" s="42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spans="1:21" ht="14.25" customHeight="1">
      <c r="A269" s="29"/>
      <c r="B269" s="42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spans="1:21" ht="14.25" customHeight="1">
      <c r="A270" s="29"/>
      <c r="B270" s="42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1" ht="14.25" customHeight="1">
      <c r="A271" s="29"/>
      <c r="B271" s="42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spans="1:21" ht="14.25" customHeight="1">
      <c r="A272" s="29"/>
      <c r="B272" s="42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spans="1:21" ht="14.25" customHeight="1">
      <c r="A273" s="29"/>
      <c r="B273" s="42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spans="1:21" ht="14.25" customHeight="1">
      <c r="A274" s="29"/>
      <c r="B274" s="42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spans="1:21" ht="14.25" customHeight="1">
      <c r="A275" s="29"/>
      <c r="B275" s="42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spans="1:21" ht="14.25" customHeight="1">
      <c r="A276" s="29"/>
      <c r="B276" s="42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spans="1:21" ht="14.25" customHeight="1">
      <c r="A277" s="29"/>
      <c r="B277" s="42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spans="1:21" ht="14.25" customHeight="1">
      <c r="A278" s="29"/>
      <c r="B278" s="42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spans="1:21" ht="14.25" customHeight="1">
      <c r="A279" s="29"/>
      <c r="B279" s="42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spans="1:21" ht="14.25" customHeight="1">
      <c r="A280" s="29"/>
      <c r="B280" s="42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spans="1:21" ht="14.25" customHeight="1">
      <c r="A281" s="29"/>
      <c r="B281" s="42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spans="1:21" ht="14.25" customHeight="1">
      <c r="A282" s="29"/>
      <c r="B282" s="42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spans="1:21" ht="14.25" customHeight="1">
      <c r="A283" s="29"/>
      <c r="B283" s="42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spans="1:21" ht="14.25" customHeight="1">
      <c r="A284" s="29"/>
      <c r="B284" s="42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spans="1:21" ht="14.25" customHeight="1">
      <c r="A285" s="29"/>
      <c r="B285" s="42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spans="1:21" ht="14.25" customHeight="1">
      <c r="A286" s="29"/>
      <c r="B286" s="42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spans="1:21" ht="14.25" customHeight="1">
      <c r="A287" s="29"/>
      <c r="B287" s="42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spans="1:21" ht="14.25" customHeight="1">
      <c r="A288" s="29"/>
      <c r="B288" s="42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spans="1:21" ht="14.25" customHeight="1">
      <c r="A289" s="29"/>
      <c r="B289" s="42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spans="1:21" ht="14.25" customHeight="1">
      <c r="A290" s="29"/>
      <c r="B290" s="42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spans="1:21" ht="14.25" customHeight="1">
      <c r="A291" s="29"/>
      <c r="B291" s="42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spans="1:21" ht="14.25" customHeight="1">
      <c r="A292" s="29"/>
      <c r="B292" s="42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spans="1:21" ht="14.25" customHeight="1">
      <c r="A293" s="29"/>
      <c r="B293" s="4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spans="1:21" ht="14.25" customHeight="1">
      <c r="A294" s="29"/>
      <c r="B294" s="42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spans="1:21" ht="14.25" customHeight="1">
      <c r="A295" s="29"/>
      <c r="B295" s="42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spans="1:21" ht="14.25" customHeight="1">
      <c r="A296" s="29"/>
      <c r="B296" s="42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spans="1:21" ht="14.25" customHeight="1">
      <c r="A297" s="29"/>
      <c r="B297" s="42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spans="1:21" ht="14.25" customHeight="1">
      <c r="A298" s="29"/>
      <c r="B298" s="4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spans="1:21" ht="14.25" customHeight="1">
      <c r="A299" s="29"/>
      <c r="B299" s="42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spans="1:21" ht="14.25" customHeight="1">
      <c r="A300" s="29"/>
      <c r="B300" s="42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spans="1:21" ht="14.25" customHeight="1">
      <c r="A301" s="29"/>
      <c r="B301" s="42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spans="1:21" ht="14.25" customHeight="1">
      <c r="A302" s="29"/>
      <c r="B302" s="42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spans="1:21" ht="14.25" customHeight="1">
      <c r="A303" s="29"/>
      <c r="B303" s="4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spans="1:21" ht="14.25" customHeight="1">
      <c r="A304" s="29"/>
      <c r="B304" s="42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spans="1:21" ht="14.25" customHeight="1">
      <c r="A305" s="29"/>
      <c r="B305" s="42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spans="1:21" ht="14.25" customHeight="1">
      <c r="A306" s="29"/>
      <c r="B306" s="42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spans="1:21" ht="14.25" customHeight="1">
      <c r="A307" s="29"/>
      <c r="B307" s="42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spans="1:21" ht="14.25" customHeight="1">
      <c r="A308" s="29"/>
      <c r="B308" s="42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spans="1:21" ht="14.25" customHeight="1">
      <c r="A309" s="29"/>
      <c r="B309" s="42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spans="1:21" ht="14.25" customHeight="1">
      <c r="A310" s="29"/>
      <c r="B310" s="42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spans="1:21" ht="14.25" customHeight="1">
      <c r="A311" s="29"/>
      <c r="B311" s="42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spans="1:21" ht="14.25" customHeight="1">
      <c r="A312" s="29"/>
      <c r="B312" s="42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spans="1:21" ht="14.25" customHeight="1">
      <c r="A313" s="29"/>
      <c r="B313" s="42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spans="1:21" ht="14.25" customHeight="1">
      <c r="A314" s="29"/>
      <c r="B314" s="42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spans="1:21" ht="14.25" customHeight="1">
      <c r="A315" s="29"/>
      <c r="B315" s="42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spans="1:21" ht="14.25" customHeight="1">
      <c r="A316" s="29"/>
      <c r="B316" s="42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spans="1:21" ht="14.25" customHeight="1">
      <c r="A317" s="29"/>
      <c r="B317" s="42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spans="1:21" ht="14.25" customHeight="1">
      <c r="A318" s="29"/>
      <c r="B318" s="42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spans="1:21" ht="14.25" customHeight="1">
      <c r="A319" s="29"/>
      <c r="B319" s="42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spans="1:21" ht="14.25" customHeight="1">
      <c r="A320" s="29"/>
      <c r="B320" s="42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spans="1:21" ht="14.25" customHeight="1">
      <c r="A321" s="29"/>
      <c r="B321" s="42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spans="1:21" ht="14.25" customHeight="1">
      <c r="A322" s="29"/>
      <c r="B322" s="42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spans="1:21" ht="14.25" customHeight="1">
      <c r="A323" s="29"/>
      <c r="B323" s="42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spans="1:21" ht="14.25" customHeight="1">
      <c r="A324" s="29"/>
      <c r="B324" s="42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spans="1:21" ht="14.25" customHeight="1">
      <c r="A325" s="29"/>
      <c r="B325" s="42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spans="1:21" ht="14.25" customHeight="1">
      <c r="A326" s="29"/>
      <c r="B326" s="42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spans="1:21" ht="14.25" customHeight="1">
      <c r="A327" s="29"/>
      <c r="B327" s="42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spans="1:21" ht="14.25" customHeight="1">
      <c r="A328" s="29"/>
      <c r="B328" s="42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spans="1:21" ht="14.25" customHeight="1">
      <c r="A329" s="29"/>
      <c r="B329" s="42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spans="1:21" ht="14.25" customHeight="1">
      <c r="A330" s="29"/>
      <c r="B330" s="42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spans="1:21" ht="14.25" customHeight="1">
      <c r="A331" s="29"/>
      <c r="B331" s="42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spans="1:21" ht="14.25" customHeight="1">
      <c r="A332" s="29"/>
      <c r="B332" s="42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spans="1:21" ht="14.25" customHeight="1">
      <c r="A333" s="29"/>
      <c r="B333" s="42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spans="1:21" ht="14.25" customHeight="1">
      <c r="A334" s="29"/>
      <c r="B334" s="42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spans="1:21" ht="14.25" customHeight="1">
      <c r="A335" s="29"/>
      <c r="B335" s="42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spans="1:21" ht="14.25" customHeight="1">
      <c r="A336" s="29"/>
      <c r="B336" s="42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spans="1:21" ht="14.25" customHeight="1">
      <c r="A337" s="29"/>
      <c r="B337" s="42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spans="1:21" ht="14.25" customHeight="1">
      <c r="A338" s="29"/>
      <c r="B338" s="42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spans="1:21" ht="14.25" customHeight="1">
      <c r="A339" s="29"/>
      <c r="B339" s="42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spans="1:21" ht="14.25" customHeight="1">
      <c r="A340" s="29"/>
      <c r="B340" s="42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spans="1:21" ht="14.25" customHeight="1">
      <c r="A341" s="29"/>
      <c r="B341" s="42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spans="1:21" ht="14.25" customHeight="1">
      <c r="A342" s="29"/>
      <c r="B342" s="42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spans="1:21" ht="14.25" customHeight="1">
      <c r="A343" s="29"/>
      <c r="B343" s="42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spans="1:21" ht="14.25" customHeight="1">
      <c r="A344" s="29"/>
      <c r="B344" s="42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spans="1:21" ht="14.25" customHeight="1">
      <c r="A345" s="29"/>
      <c r="B345" s="42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spans="1:21" ht="14.25" customHeight="1">
      <c r="A346" s="29"/>
      <c r="B346" s="42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spans="1:21" ht="14.25" customHeight="1">
      <c r="A347" s="29"/>
      <c r="B347" s="42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spans="1:21" ht="14.25" customHeight="1">
      <c r="A348" s="29"/>
      <c r="B348" s="42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spans="1:21" ht="14.25" customHeight="1">
      <c r="A349" s="29"/>
      <c r="B349" s="4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spans="1:21" ht="14.25" customHeight="1">
      <c r="A350" s="29"/>
      <c r="B350" s="42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spans="1:21" ht="14.25" customHeight="1">
      <c r="A351" s="29"/>
      <c r="B351" s="42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spans="1:21" ht="14.25" customHeight="1">
      <c r="A352" s="29"/>
      <c r="B352" s="42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spans="1:21" ht="14.25" customHeight="1">
      <c r="A353" s="29"/>
      <c r="B353" s="42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spans="1:21" ht="14.25" customHeight="1">
      <c r="A354" s="29"/>
      <c r="B354" s="4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spans="1:21" ht="14.25" customHeight="1">
      <c r="A355" s="29"/>
      <c r="B355" s="4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spans="1:21" ht="14.25" customHeight="1">
      <c r="A356" s="29"/>
      <c r="B356" s="42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spans="1:21" ht="14.25" customHeight="1">
      <c r="A357" s="29"/>
      <c r="B357" s="42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spans="1:21" ht="14.25" customHeight="1">
      <c r="A358" s="29"/>
      <c r="B358" s="42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spans="1:21" ht="14.25" customHeight="1">
      <c r="A359" s="29"/>
      <c r="B359" s="42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spans="1:21" ht="14.25" customHeight="1">
      <c r="A360" s="29"/>
      <c r="B360" s="4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spans="1:21" ht="14.25" customHeight="1">
      <c r="A361" s="29"/>
      <c r="B361" s="42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spans="1:21" ht="14.25" customHeight="1">
      <c r="A362" s="29"/>
      <c r="B362" s="42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spans="1:21" ht="14.25" customHeight="1">
      <c r="A363" s="29"/>
      <c r="B363" s="42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spans="1:21" ht="14.25" customHeight="1">
      <c r="A364" s="29"/>
      <c r="B364" s="42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spans="1:21" ht="14.25" customHeight="1">
      <c r="A365" s="29"/>
      <c r="B365" s="42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spans="1:21" ht="14.25" customHeight="1">
      <c r="A366" s="29"/>
      <c r="B366" s="42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spans="1:21" ht="14.25" customHeight="1">
      <c r="A367" s="29"/>
      <c r="B367" s="42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spans="1:21" ht="14.25" customHeight="1">
      <c r="A368" s="29"/>
      <c r="B368" s="42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spans="1:21" ht="14.25" customHeight="1">
      <c r="A369" s="29"/>
      <c r="B369" s="42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spans="1:21" ht="14.25" customHeight="1">
      <c r="A370" s="29"/>
      <c r="B370" s="42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spans="1:21" ht="14.25" customHeight="1">
      <c r="A371" s="29"/>
      <c r="B371" s="42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spans="1:21" ht="14.25" customHeight="1">
      <c r="A372" s="29"/>
      <c r="B372" s="42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spans="1:21" ht="14.25" customHeight="1">
      <c r="A373" s="29"/>
      <c r="B373" s="42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spans="1:21" ht="14.25" customHeight="1">
      <c r="A374" s="29"/>
      <c r="B374" s="42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spans="1:21" ht="14.25" customHeight="1">
      <c r="A375" s="29"/>
      <c r="B375" s="42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spans="1:21" ht="14.25" customHeight="1">
      <c r="A376" s="29"/>
      <c r="B376" s="42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spans="1:21" ht="14.25" customHeight="1">
      <c r="A377" s="29"/>
      <c r="B377" s="42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spans="1:21" ht="14.25" customHeight="1">
      <c r="A378" s="29"/>
      <c r="B378" s="42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spans="1:21" ht="14.25" customHeight="1">
      <c r="A379" s="29"/>
      <c r="B379" s="42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spans="1:21" ht="14.25" customHeight="1">
      <c r="A380" s="29"/>
      <c r="B380" s="42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spans="1:21" ht="14.25" customHeight="1">
      <c r="A381" s="29"/>
      <c r="B381" s="42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spans="1:21" ht="14.25" customHeight="1">
      <c r="A382" s="29"/>
      <c r="B382" s="42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spans="1:21" ht="14.25" customHeight="1">
      <c r="A383" s="29"/>
      <c r="B383" s="42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spans="1:21" ht="14.25" customHeight="1">
      <c r="A384" s="29"/>
      <c r="B384" s="42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spans="1:21" ht="14.25" customHeight="1">
      <c r="A385" s="29"/>
      <c r="B385" s="42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spans="1:21" ht="14.25" customHeight="1">
      <c r="A386" s="29"/>
      <c r="B386" s="42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spans="1:21" ht="14.25" customHeight="1">
      <c r="A387" s="29"/>
      <c r="B387" s="42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spans="1:21" ht="14.25" customHeight="1">
      <c r="A388" s="29"/>
      <c r="B388" s="42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spans="1:21" ht="14.25" customHeight="1">
      <c r="A389" s="29"/>
      <c r="B389" s="42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spans="1:21" ht="14.25" customHeight="1">
      <c r="A390" s="29"/>
      <c r="B390" s="42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spans="1:21" ht="14.25" customHeight="1">
      <c r="A391" s="29"/>
      <c r="B391" s="42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spans="1:21" ht="14.25" customHeight="1">
      <c r="A392" s="29"/>
      <c r="B392" s="42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spans="1:21" ht="14.25" customHeight="1">
      <c r="A393" s="29"/>
      <c r="B393" s="42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spans="1:21" ht="14.25" customHeight="1">
      <c r="A394" s="29"/>
      <c r="B394" s="42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spans="1:21" ht="14.25" customHeight="1">
      <c r="A395" s="29"/>
      <c r="B395" s="42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spans="1:21" ht="14.25" customHeight="1">
      <c r="A396" s="29"/>
      <c r="B396" s="42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spans="1:21" ht="14.25" customHeight="1">
      <c r="A397" s="29"/>
      <c r="B397" s="42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spans="1:21" ht="14.25" customHeight="1">
      <c r="A398" s="29"/>
      <c r="B398" s="42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spans="1:21" ht="14.25" customHeight="1">
      <c r="A399" s="29"/>
      <c r="B399" s="42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spans="1:21" ht="14.25" customHeight="1">
      <c r="A400" s="29"/>
      <c r="B400" s="42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spans="1:21" ht="14.25" customHeight="1">
      <c r="A401" s="29"/>
      <c r="B401" s="42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spans="1:21" ht="14.25" customHeight="1">
      <c r="A402" s="29"/>
      <c r="B402" s="42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spans="1:21" ht="14.25" customHeight="1">
      <c r="A403" s="29"/>
      <c r="B403" s="42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spans="1:21" ht="14.25" customHeight="1">
      <c r="A404" s="29"/>
      <c r="B404" s="42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spans="1:21" ht="14.25" customHeight="1">
      <c r="A405" s="29"/>
      <c r="B405" s="4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spans="1:21" ht="14.25" customHeight="1">
      <c r="A406" s="29"/>
      <c r="B406" s="42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spans="1:21" ht="14.25" customHeight="1">
      <c r="A407" s="29"/>
      <c r="B407" s="42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spans="1:21" ht="14.25" customHeight="1">
      <c r="A408" s="29"/>
      <c r="B408" s="42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spans="1:21" ht="14.25" customHeight="1">
      <c r="A409" s="29"/>
      <c r="B409" s="42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spans="1:21" ht="14.25" customHeight="1">
      <c r="A410" s="29"/>
      <c r="B410" s="4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spans="1:21" ht="14.25" customHeight="1">
      <c r="A411" s="29"/>
      <c r="B411" s="42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spans="1:21" ht="14.25" customHeight="1">
      <c r="A412" s="29"/>
      <c r="B412" s="4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spans="1:21" ht="14.25" customHeight="1">
      <c r="A413" s="29"/>
      <c r="B413" s="42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spans="1:21" ht="14.25" customHeight="1">
      <c r="A414" s="29"/>
      <c r="B414" s="42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spans="1:21" ht="14.25" customHeight="1">
      <c r="A415" s="29"/>
      <c r="B415" s="42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spans="1:21" ht="14.25" customHeight="1">
      <c r="A416" s="29"/>
      <c r="B416" s="42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spans="1:21" ht="14.25" customHeight="1">
      <c r="A417" s="29"/>
      <c r="B417" s="4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spans="1:21" ht="14.25" customHeight="1">
      <c r="A418" s="29"/>
      <c r="B418" s="42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spans="1:21" ht="14.25" customHeight="1">
      <c r="A419" s="29"/>
      <c r="B419" s="42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spans="1:21" ht="14.25" customHeight="1">
      <c r="A420" s="29"/>
      <c r="B420" s="42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spans="1:21" ht="14.25" customHeight="1">
      <c r="A421" s="29"/>
      <c r="B421" s="42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spans="1:21" ht="14.25" customHeight="1">
      <c r="A422" s="29"/>
      <c r="B422" s="42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spans="1:21" ht="14.25" customHeight="1">
      <c r="A423" s="29"/>
      <c r="B423" s="42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spans="1:21" ht="14.25" customHeight="1">
      <c r="A424" s="29"/>
      <c r="B424" s="42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spans="1:21" ht="14.25" customHeight="1">
      <c r="A425" s="29"/>
      <c r="B425" s="42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spans="1:21" ht="14.25" customHeight="1">
      <c r="A426" s="29"/>
      <c r="B426" s="42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spans="1:21" ht="14.25" customHeight="1">
      <c r="A427" s="29"/>
      <c r="B427" s="42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spans="1:21" ht="14.25" customHeight="1">
      <c r="A428" s="29"/>
      <c r="B428" s="42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spans="1:21" ht="14.25" customHeight="1">
      <c r="A429" s="29"/>
      <c r="B429" s="42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spans="1:21" ht="14.25" customHeight="1">
      <c r="A430" s="29"/>
      <c r="B430" s="42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spans="1:21" ht="14.25" customHeight="1">
      <c r="A431" s="29"/>
      <c r="B431" s="42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spans="1:21" ht="14.25" customHeight="1">
      <c r="A432" s="29"/>
      <c r="B432" s="42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spans="1:21" ht="14.25" customHeight="1">
      <c r="A433" s="29"/>
      <c r="B433" s="42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spans="1:21" ht="14.25" customHeight="1">
      <c r="A434" s="29"/>
      <c r="B434" s="42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spans="1:21" ht="14.25" customHeight="1">
      <c r="A435" s="29"/>
      <c r="B435" s="42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spans="1:21" ht="14.25" customHeight="1">
      <c r="A436" s="29"/>
      <c r="B436" s="42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spans="1:21" ht="14.25" customHeight="1">
      <c r="A437" s="29"/>
      <c r="B437" s="42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spans="1:21" ht="14.25" customHeight="1">
      <c r="A438" s="29"/>
      <c r="B438" s="42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spans="1:21" ht="14.25" customHeight="1">
      <c r="A439" s="29"/>
      <c r="B439" s="42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spans="1:21" ht="14.25" customHeight="1">
      <c r="A440" s="29"/>
      <c r="B440" s="42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spans="1:21" ht="14.25" customHeight="1">
      <c r="A441" s="29"/>
      <c r="B441" s="42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spans="1:21" ht="14.25" customHeight="1">
      <c r="A442" s="29"/>
      <c r="B442" s="42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spans="1:21" ht="14.25" customHeight="1">
      <c r="A443" s="29"/>
      <c r="B443" s="42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spans="1:21" ht="14.25" customHeight="1">
      <c r="A444" s="29"/>
      <c r="B444" s="42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spans="1:21" ht="14.25" customHeight="1">
      <c r="A445" s="29"/>
      <c r="B445" s="42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spans="1:21" ht="14.25" customHeight="1">
      <c r="A446" s="29"/>
      <c r="B446" s="42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spans="1:21" ht="14.25" customHeight="1">
      <c r="A447" s="29"/>
      <c r="B447" s="42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spans="1:21" ht="14.25" customHeight="1">
      <c r="A448" s="29"/>
      <c r="B448" s="42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spans="1:21" ht="14.25" customHeight="1">
      <c r="A449" s="29"/>
      <c r="B449" s="42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spans="1:21" ht="14.25" customHeight="1">
      <c r="A450" s="29"/>
      <c r="B450" s="42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spans="1:21" ht="14.25" customHeight="1">
      <c r="A451" s="29"/>
      <c r="B451" s="42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spans="1:21" ht="14.25" customHeight="1">
      <c r="A452" s="29"/>
      <c r="B452" s="42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spans="1:21" ht="14.25" customHeight="1">
      <c r="A453" s="29"/>
      <c r="B453" s="42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spans="1:21" ht="14.25" customHeight="1">
      <c r="A454" s="29"/>
      <c r="B454" s="42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spans="1:21" ht="14.25" customHeight="1">
      <c r="A455" s="29"/>
      <c r="B455" s="42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spans="1:21" ht="14.25" customHeight="1">
      <c r="A456" s="29"/>
      <c r="B456" s="42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spans="1:21" ht="14.25" customHeight="1">
      <c r="A457" s="29"/>
      <c r="B457" s="42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spans="1:21" ht="14.25" customHeight="1">
      <c r="A458" s="29"/>
      <c r="B458" s="42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spans="1:21" ht="14.25" customHeight="1">
      <c r="A459" s="29"/>
      <c r="B459" s="42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spans="1:21" ht="14.25" customHeight="1">
      <c r="A460" s="29"/>
      <c r="B460" s="42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spans="1:21" ht="14.25" customHeight="1">
      <c r="A461" s="29"/>
      <c r="B461" s="4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spans="1:21" ht="14.25" customHeight="1">
      <c r="A462" s="29"/>
      <c r="B462" s="42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spans="1:21" ht="14.25" customHeight="1">
      <c r="A463" s="29"/>
      <c r="B463" s="42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spans="1:21" ht="14.25" customHeight="1">
      <c r="A464" s="29"/>
      <c r="B464" s="42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spans="1:21" ht="14.25" customHeight="1">
      <c r="A465" s="29"/>
      <c r="B465" s="42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spans="1:21" ht="14.25" customHeight="1">
      <c r="A466" s="29"/>
      <c r="B466" s="4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spans="1:21" ht="14.25" customHeight="1">
      <c r="A467" s="29"/>
      <c r="B467" s="42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spans="1:21" ht="14.25" customHeight="1">
      <c r="A468" s="29"/>
      <c r="B468" s="42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spans="1:21" ht="14.25" customHeight="1">
      <c r="A469" s="29"/>
      <c r="B469" s="4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spans="1:21" ht="14.25" customHeight="1">
      <c r="A470" s="29"/>
      <c r="B470" s="42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spans="1:21" ht="14.25" customHeight="1">
      <c r="A471" s="29"/>
      <c r="B471" s="42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spans="1:21" ht="14.25" customHeight="1">
      <c r="A472" s="29"/>
      <c r="B472" s="42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spans="1:21" ht="14.25" customHeight="1">
      <c r="A473" s="29"/>
      <c r="B473" s="42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spans="1:21" ht="14.25" customHeight="1">
      <c r="A474" s="29"/>
      <c r="B474" s="4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spans="1:21" ht="14.25" customHeight="1">
      <c r="A475" s="29"/>
      <c r="B475" s="42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spans="1:21" ht="14.25" customHeight="1">
      <c r="A476" s="29"/>
      <c r="B476" s="42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spans="1:21" ht="14.25" customHeight="1">
      <c r="A477" s="29"/>
      <c r="B477" s="42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spans="1:21" ht="14.25" customHeight="1">
      <c r="A478" s="29"/>
      <c r="B478" s="42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spans="1:21" ht="14.25" customHeight="1">
      <c r="A479" s="29"/>
      <c r="B479" s="42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spans="1:21" ht="14.25" customHeight="1">
      <c r="A480" s="29"/>
      <c r="B480" s="42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spans="1:21" ht="14.25" customHeight="1">
      <c r="A481" s="29"/>
      <c r="B481" s="42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spans="1:21" ht="14.25" customHeight="1">
      <c r="A482" s="29"/>
      <c r="B482" s="42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spans="1:21" ht="14.25" customHeight="1">
      <c r="A483" s="29"/>
      <c r="B483" s="42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spans="1:21" ht="14.25" customHeight="1">
      <c r="A484" s="29"/>
      <c r="B484" s="42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spans="1:21" ht="14.25" customHeight="1">
      <c r="A485" s="29"/>
      <c r="B485" s="42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spans="1:21" ht="14.25" customHeight="1">
      <c r="A486" s="29"/>
      <c r="B486" s="42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spans="1:21" ht="14.25" customHeight="1">
      <c r="A487" s="29"/>
      <c r="B487" s="42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spans="1:21" ht="14.25" customHeight="1">
      <c r="A488" s="29"/>
      <c r="B488" s="42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spans="1:21" ht="14.25" customHeight="1">
      <c r="A489" s="29"/>
      <c r="B489" s="42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spans="1:21" ht="14.25" customHeight="1">
      <c r="A490" s="29"/>
      <c r="B490" s="42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spans="1:21" ht="14.25" customHeight="1">
      <c r="A491" s="29"/>
      <c r="B491" s="42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spans="1:21" ht="14.25" customHeight="1">
      <c r="A492" s="29"/>
      <c r="B492" s="42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spans="1:21" ht="14.25" customHeight="1">
      <c r="A493" s="29"/>
      <c r="B493" s="42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spans="1:21" ht="14.25" customHeight="1">
      <c r="A494" s="29"/>
      <c r="B494" s="42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spans="1:21" ht="14.25" customHeight="1">
      <c r="A495" s="29"/>
      <c r="B495" s="42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spans="1:21" ht="14.25" customHeight="1">
      <c r="A496" s="29"/>
      <c r="B496" s="42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spans="1:21" ht="14.25" customHeight="1">
      <c r="A497" s="29"/>
      <c r="B497" s="42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spans="1:21" ht="14.25" customHeight="1">
      <c r="A498" s="29"/>
      <c r="B498" s="42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spans="1:21" ht="14.25" customHeight="1">
      <c r="A499" s="29"/>
      <c r="B499" s="42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spans="1:21" ht="14.25" customHeight="1">
      <c r="A500" s="29"/>
      <c r="B500" s="42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spans="1:21" ht="14.25" customHeight="1">
      <c r="A501" s="29"/>
      <c r="B501" s="42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spans="1:21" ht="14.25" customHeight="1">
      <c r="A502" s="29"/>
      <c r="B502" s="42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spans="1:21" ht="14.25" customHeight="1">
      <c r="A503" s="29"/>
      <c r="B503" s="42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spans="1:21" ht="14.25" customHeight="1">
      <c r="A504" s="29"/>
      <c r="B504" s="42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spans="1:21" ht="14.25" customHeight="1">
      <c r="A505" s="29"/>
      <c r="B505" s="42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spans="1:21" ht="14.25" customHeight="1">
      <c r="A506" s="29"/>
      <c r="B506" s="42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spans="1:21" ht="14.25" customHeight="1">
      <c r="A507" s="29"/>
      <c r="B507" s="42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spans="1:21" ht="14.25" customHeight="1">
      <c r="A508" s="29"/>
      <c r="B508" s="42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spans="1:21" ht="14.25" customHeight="1">
      <c r="A509" s="29"/>
      <c r="B509" s="42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spans="1:21" ht="14.25" customHeight="1">
      <c r="A510" s="29"/>
      <c r="B510" s="42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spans="1:21" ht="14.25" customHeight="1">
      <c r="A511" s="29"/>
      <c r="B511" s="42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spans="1:21" ht="14.25" customHeight="1">
      <c r="A512" s="29"/>
      <c r="B512" s="42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spans="1:21" ht="14.25" customHeight="1">
      <c r="A513" s="29"/>
      <c r="B513" s="42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spans="1:21" ht="14.25" customHeight="1">
      <c r="A514" s="29"/>
      <c r="B514" s="42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spans="1:21" ht="14.25" customHeight="1">
      <c r="A515" s="29"/>
      <c r="B515" s="42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spans="1:21" ht="14.25" customHeight="1">
      <c r="A516" s="29"/>
      <c r="B516" s="42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spans="1:21" ht="14.25" customHeight="1">
      <c r="A517" s="29"/>
      <c r="B517" s="4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spans="1:21" ht="14.25" customHeight="1">
      <c r="A518" s="29"/>
      <c r="B518" s="42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spans="1:21" ht="14.25" customHeight="1">
      <c r="A519" s="29"/>
      <c r="B519" s="42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spans="1:21" ht="14.25" customHeight="1">
      <c r="A520" s="29"/>
      <c r="B520" s="42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spans="1:21" ht="14.25" customHeight="1">
      <c r="A521" s="29"/>
      <c r="B521" s="42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spans="1:21" ht="14.25" customHeight="1">
      <c r="A522" s="29"/>
      <c r="B522" s="4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spans="1:21" ht="14.25" customHeight="1">
      <c r="A523" s="29"/>
      <c r="B523" s="42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spans="1:21" ht="14.25" customHeight="1">
      <c r="A524" s="29"/>
      <c r="B524" s="42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spans="1:21" ht="14.25" customHeight="1">
      <c r="A525" s="29"/>
      <c r="B525" s="42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spans="1:21" ht="14.25" customHeight="1">
      <c r="A526" s="29"/>
      <c r="B526" s="4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spans="1:21" ht="14.25" customHeight="1">
      <c r="A527" s="29"/>
      <c r="B527" s="42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spans="1:21" ht="14.25" customHeight="1">
      <c r="A528" s="29"/>
      <c r="B528" s="42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spans="1:21" ht="14.25" customHeight="1">
      <c r="A529" s="29"/>
      <c r="B529" s="42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spans="1:21" ht="14.25" customHeight="1">
      <c r="A530" s="29"/>
      <c r="B530" s="42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spans="1:21" ht="14.25" customHeight="1">
      <c r="A531" s="29"/>
      <c r="B531" s="4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spans="1:21" ht="14.25" customHeight="1">
      <c r="A532" s="29"/>
      <c r="B532" s="42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spans="1:21" ht="14.25" customHeight="1">
      <c r="A533" s="29"/>
      <c r="B533" s="42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spans="1:21" ht="14.25" customHeight="1">
      <c r="A534" s="29"/>
      <c r="B534" s="42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spans="1:21" ht="14.25" customHeight="1">
      <c r="A535" s="29"/>
      <c r="B535" s="42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spans="1:21" ht="14.25" customHeight="1">
      <c r="A536" s="29"/>
      <c r="B536" s="42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spans="1:21" ht="14.25" customHeight="1">
      <c r="A537" s="29"/>
      <c r="B537" s="42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spans="1:21" ht="14.25" customHeight="1">
      <c r="A538" s="29"/>
      <c r="B538" s="42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spans="1:21" ht="14.25" customHeight="1">
      <c r="A539" s="29"/>
      <c r="B539" s="42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spans="1:21" ht="14.25" customHeight="1">
      <c r="A540" s="29"/>
      <c r="B540" s="42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spans="1:21" ht="14.25" customHeight="1">
      <c r="A541" s="29"/>
      <c r="B541" s="42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spans="1:21" ht="14.25" customHeight="1">
      <c r="A542" s="29"/>
      <c r="B542" s="42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spans="1:21" ht="14.25" customHeight="1">
      <c r="A543" s="29"/>
      <c r="B543" s="42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spans="1:21" ht="14.25" customHeight="1">
      <c r="A544" s="29"/>
      <c r="B544" s="42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spans="1:21" ht="14.25" customHeight="1">
      <c r="A545" s="29"/>
      <c r="B545" s="42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spans="1:21" ht="14.25" customHeight="1">
      <c r="A546" s="29"/>
      <c r="B546" s="42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spans="1:21" ht="14.25" customHeight="1">
      <c r="A547" s="29"/>
      <c r="B547" s="42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spans="1:21" ht="14.25" customHeight="1">
      <c r="A548" s="29"/>
      <c r="B548" s="42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spans="1:21" ht="14.25" customHeight="1">
      <c r="A549" s="29"/>
      <c r="B549" s="42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spans="1:21" ht="14.25" customHeight="1">
      <c r="A550" s="29"/>
      <c r="B550" s="42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spans="1:21" ht="14.25" customHeight="1">
      <c r="A551" s="29"/>
      <c r="B551" s="42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spans="1:21" ht="14.25" customHeight="1">
      <c r="A552" s="29"/>
      <c r="B552" s="42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spans="1:21" ht="14.25" customHeight="1">
      <c r="A553" s="29"/>
      <c r="B553" s="42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spans="1:21" ht="14.25" customHeight="1">
      <c r="A554" s="29"/>
      <c r="B554" s="42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spans="1:21" ht="14.25" customHeight="1">
      <c r="A555" s="29"/>
      <c r="B555" s="42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spans="1:21" ht="14.25" customHeight="1">
      <c r="A556" s="29"/>
      <c r="B556" s="42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spans="1:21" ht="14.25" customHeight="1">
      <c r="A557" s="29"/>
      <c r="B557" s="42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spans="1:21" ht="14.25" customHeight="1">
      <c r="A558" s="29"/>
      <c r="B558" s="42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spans="1:21" ht="14.25" customHeight="1">
      <c r="A559" s="29"/>
      <c r="B559" s="42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spans="1:21" ht="14.25" customHeight="1">
      <c r="A560" s="29"/>
      <c r="B560" s="42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spans="1:21" ht="14.25" customHeight="1">
      <c r="A561" s="29"/>
      <c r="B561" s="42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spans="1:21" ht="14.25" customHeight="1">
      <c r="A562" s="29"/>
      <c r="B562" s="42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spans="1:21" ht="14.25" customHeight="1">
      <c r="A563" s="29"/>
      <c r="B563" s="42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spans="1:21" ht="14.25" customHeight="1">
      <c r="A564" s="29"/>
      <c r="B564" s="42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spans="1:21" ht="14.25" customHeight="1">
      <c r="A565" s="29"/>
      <c r="B565" s="42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spans="1:21" ht="14.25" customHeight="1">
      <c r="A566" s="29"/>
      <c r="B566" s="42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spans="1:21" ht="14.25" customHeight="1">
      <c r="A567" s="29"/>
      <c r="B567" s="42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spans="1:21" ht="14.25" customHeight="1">
      <c r="A568" s="29"/>
      <c r="B568" s="42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spans="1:21" ht="14.25" customHeight="1">
      <c r="A569" s="29"/>
      <c r="B569" s="42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spans="1:21" ht="14.25" customHeight="1">
      <c r="A570" s="29"/>
      <c r="B570" s="42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spans="1:21" ht="14.25" customHeight="1">
      <c r="A571" s="29"/>
      <c r="B571" s="42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spans="1:21" ht="14.25" customHeight="1">
      <c r="A572" s="29"/>
      <c r="B572" s="42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spans="1:21" ht="14.25" customHeight="1">
      <c r="A573" s="29"/>
      <c r="B573" s="4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spans="1:21" ht="14.25" customHeight="1">
      <c r="A574" s="29"/>
      <c r="B574" s="42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spans="1:21" ht="14.25" customHeight="1">
      <c r="A575" s="29"/>
      <c r="B575" s="42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spans="1:21" ht="14.25" customHeight="1">
      <c r="A576" s="29"/>
      <c r="B576" s="42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spans="1:21" ht="14.25" customHeight="1">
      <c r="A577" s="29"/>
      <c r="B577" s="42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spans="1:21" ht="14.25" customHeight="1">
      <c r="A578" s="29"/>
      <c r="B578" s="4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spans="1:21" ht="14.25" customHeight="1">
      <c r="A579" s="29"/>
      <c r="B579" s="42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spans="1:21" ht="14.25" customHeight="1">
      <c r="A580" s="29"/>
      <c r="B580" s="42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spans="1:21" ht="14.25" customHeight="1">
      <c r="A581" s="29"/>
      <c r="B581" s="42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spans="1:21" ht="14.25" customHeight="1">
      <c r="A582" s="29"/>
      <c r="B582" s="42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spans="1:21" ht="14.25" customHeight="1">
      <c r="A583" s="29"/>
      <c r="B583" s="4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spans="1:21" ht="14.25" customHeight="1">
      <c r="A584" s="29"/>
      <c r="B584" s="42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spans="1:21" ht="14.25" customHeight="1">
      <c r="A585" s="29"/>
      <c r="B585" s="42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spans="1:21" ht="14.25" customHeight="1">
      <c r="A586" s="29"/>
      <c r="B586" s="42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spans="1:21" ht="14.25" customHeight="1">
      <c r="A587" s="29"/>
      <c r="B587" s="42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spans="1:21" ht="14.25" customHeight="1">
      <c r="A588" s="29"/>
      <c r="B588" s="4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spans="1:21" ht="14.25" customHeight="1">
      <c r="A589" s="29"/>
      <c r="B589" s="42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spans="1:21" ht="14.25" customHeight="1">
      <c r="A590" s="29"/>
      <c r="B590" s="42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spans="1:21" ht="14.25" customHeight="1">
      <c r="A591" s="29"/>
      <c r="B591" s="42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spans="1:21" ht="14.25" customHeight="1">
      <c r="A592" s="29"/>
      <c r="B592" s="42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spans="1:21" ht="14.25" customHeight="1">
      <c r="A593" s="29"/>
      <c r="B593" s="42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spans="1:21" ht="14.25" customHeight="1">
      <c r="A594" s="29"/>
      <c r="B594" s="42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spans="1:21" ht="14.25" customHeight="1">
      <c r="A595" s="29"/>
      <c r="B595" s="42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spans="1:21" ht="14.25" customHeight="1">
      <c r="A596" s="29"/>
      <c r="B596" s="42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spans="1:21" ht="14.25" customHeight="1">
      <c r="A597" s="29"/>
      <c r="B597" s="42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spans="1:21" ht="14.25" customHeight="1">
      <c r="A598" s="29"/>
      <c r="B598" s="42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spans="1:21" ht="14.25" customHeight="1">
      <c r="A599" s="29"/>
      <c r="B599" s="42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spans="1:21" ht="14.25" customHeight="1">
      <c r="A600" s="29"/>
      <c r="B600" s="42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spans="1:21" ht="14.25" customHeight="1">
      <c r="A601" s="29"/>
      <c r="B601" s="42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spans="1:21" ht="14.25" customHeight="1">
      <c r="A602" s="29"/>
      <c r="B602" s="42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spans="1:21" ht="14.25" customHeight="1">
      <c r="A603" s="29"/>
      <c r="B603" s="42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spans="1:21" ht="14.25" customHeight="1">
      <c r="A604" s="29"/>
      <c r="B604" s="42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spans="1:21" ht="14.25" customHeight="1">
      <c r="A605" s="29"/>
      <c r="B605" s="42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spans="1:21" ht="14.25" customHeight="1">
      <c r="A606" s="29"/>
      <c r="B606" s="42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spans="1:21" ht="14.25" customHeight="1">
      <c r="A607" s="29"/>
      <c r="B607" s="42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spans="1:21" ht="14.25" customHeight="1">
      <c r="A608" s="29"/>
      <c r="B608" s="42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spans="1:21" ht="14.25" customHeight="1">
      <c r="A609" s="29"/>
      <c r="B609" s="42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spans="1:21" ht="14.25" customHeight="1">
      <c r="A610" s="29"/>
      <c r="B610" s="42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spans="1:21" ht="14.25" customHeight="1">
      <c r="A611" s="29"/>
      <c r="B611" s="42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spans="1:21" ht="14.25" customHeight="1">
      <c r="A612" s="29"/>
      <c r="B612" s="42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spans="1:21" ht="14.25" customHeight="1">
      <c r="A613" s="29"/>
      <c r="B613" s="42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spans="1:21" ht="14.25" customHeight="1">
      <c r="A614" s="29"/>
      <c r="B614" s="42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spans="1:21" ht="14.25" customHeight="1">
      <c r="A615" s="29"/>
      <c r="B615" s="42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spans="1:21" ht="14.25" customHeight="1">
      <c r="A616" s="29"/>
      <c r="B616" s="42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spans="1:21" ht="14.25" customHeight="1">
      <c r="A617" s="29"/>
      <c r="B617" s="42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spans="1:21" ht="14.25" customHeight="1">
      <c r="A618" s="29"/>
      <c r="B618" s="42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spans="1:21" ht="14.25" customHeight="1">
      <c r="A619" s="29"/>
      <c r="B619" s="42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spans="1:21" ht="14.25" customHeight="1">
      <c r="A620" s="29"/>
      <c r="B620" s="42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spans="1:21" ht="14.25" customHeight="1">
      <c r="A621" s="29"/>
      <c r="B621" s="42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spans="1:21" ht="14.25" customHeight="1">
      <c r="A622" s="29"/>
      <c r="B622" s="42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spans="1:21" ht="14.25" customHeight="1">
      <c r="A623" s="29"/>
      <c r="B623" s="42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spans="1:21" ht="14.25" customHeight="1">
      <c r="A624" s="29"/>
      <c r="B624" s="42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spans="1:21" ht="14.25" customHeight="1">
      <c r="A625" s="29"/>
      <c r="B625" s="42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spans="1:21" ht="14.25" customHeight="1">
      <c r="A626" s="29"/>
      <c r="B626" s="42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spans="1:21" ht="14.25" customHeight="1">
      <c r="A627" s="29"/>
      <c r="B627" s="42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spans="1:21" ht="14.25" customHeight="1">
      <c r="A628" s="29"/>
      <c r="B628" s="42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spans="1:21" ht="14.25" customHeight="1">
      <c r="A629" s="29"/>
      <c r="B629" s="4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spans="1:21" ht="14.25" customHeight="1">
      <c r="A630" s="29"/>
      <c r="B630" s="42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spans="1:21" ht="14.25" customHeight="1">
      <c r="A631" s="29"/>
      <c r="B631" s="42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spans="1:21" ht="14.25" customHeight="1">
      <c r="A632" s="29"/>
      <c r="B632" s="42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spans="1:21" ht="14.25" customHeight="1">
      <c r="A633" s="29"/>
      <c r="B633" s="42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spans="1:21" ht="14.25" customHeight="1">
      <c r="A634" s="29"/>
      <c r="B634" s="4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spans="1:21" ht="14.25" customHeight="1">
      <c r="A635" s="29"/>
      <c r="B635" s="42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spans="1:21" ht="14.25" customHeight="1">
      <c r="A636" s="29"/>
      <c r="B636" s="42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spans="1:21" ht="14.25" customHeight="1">
      <c r="A637" s="29"/>
      <c r="B637" s="42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spans="1:21" ht="14.25" customHeight="1">
      <c r="A638" s="29"/>
      <c r="B638" s="42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spans="1:21" ht="14.25" customHeight="1">
      <c r="A639" s="29"/>
      <c r="B639" s="42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spans="1:21" ht="14.25" customHeight="1">
      <c r="A640" s="29"/>
      <c r="B640" s="4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spans="1:21" ht="14.25" customHeight="1">
      <c r="A641" s="29"/>
      <c r="B641" s="42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spans="1:21" ht="14.25" customHeight="1">
      <c r="A642" s="29"/>
      <c r="B642" s="42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spans="1:21" ht="14.25" customHeight="1">
      <c r="A643" s="29"/>
      <c r="B643" s="42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spans="1:21" ht="14.25" customHeight="1">
      <c r="A644" s="29"/>
      <c r="B644" s="42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spans="1:21" ht="14.25" customHeight="1">
      <c r="A645" s="29"/>
      <c r="B645" s="4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spans="1:21" ht="14.25" customHeight="1">
      <c r="A646" s="29"/>
      <c r="B646" s="42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spans="1:21" ht="14.25" customHeight="1">
      <c r="A647" s="29"/>
      <c r="B647" s="42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spans="1:21" ht="14.25" customHeight="1">
      <c r="A648" s="29"/>
      <c r="B648" s="42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spans="1:21" ht="14.25" customHeight="1">
      <c r="A649" s="29"/>
      <c r="B649" s="42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spans="1:21" ht="14.25" customHeight="1">
      <c r="A650" s="29"/>
      <c r="B650" s="42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spans="1:21" ht="14.25" customHeight="1">
      <c r="A651" s="29"/>
      <c r="B651" s="42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spans="1:21" ht="14.25" customHeight="1">
      <c r="A652" s="29"/>
      <c r="B652" s="42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spans="1:21" ht="14.25" customHeight="1">
      <c r="A653" s="29"/>
      <c r="B653" s="42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spans="1:21" ht="14.25" customHeight="1">
      <c r="A654" s="29"/>
      <c r="B654" s="42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spans="1:21" ht="14.25" customHeight="1">
      <c r="A655" s="29"/>
      <c r="B655" s="42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spans="1:21" ht="14.25" customHeight="1">
      <c r="A656" s="29"/>
      <c r="B656" s="42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spans="1:21" ht="14.25" customHeight="1">
      <c r="A657" s="29"/>
      <c r="B657" s="42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spans="1:21" ht="14.25" customHeight="1">
      <c r="A658" s="29"/>
      <c r="B658" s="42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spans="1:21" ht="14.25" customHeight="1">
      <c r="A659" s="29"/>
      <c r="B659" s="42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spans="1:21" ht="14.25" customHeight="1">
      <c r="A660" s="29"/>
      <c r="B660" s="42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spans="1:21" ht="14.25" customHeight="1">
      <c r="A661" s="29"/>
      <c r="B661" s="42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spans="1:21" ht="14.25" customHeight="1">
      <c r="A662" s="29"/>
      <c r="B662" s="42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spans="1:21" ht="14.25" customHeight="1">
      <c r="A663" s="29"/>
      <c r="B663" s="42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spans="1:21" ht="14.25" customHeight="1">
      <c r="A664" s="29"/>
      <c r="B664" s="42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spans="1:21" ht="14.25" customHeight="1">
      <c r="A665" s="29"/>
      <c r="B665" s="42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spans="1:21" ht="14.25" customHeight="1">
      <c r="A666" s="29"/>
      <c r="B666" s="42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spans="1:21" ht="14.25" customHeight="1">
      <c r="A667" s="29"/>
      <c r="B667" s="42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spans="1:21" ht="14.25" customHeight="1">
      <c r="A668" s="29"/>
      <c r="B668" s="42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spans="1:21" ht="14.25" customHeight="1">
      <c r="A669" s="29"/>
      <c r="B669" s="42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spans="1:21" ht="14.25" customHeight="1">
      <c r="A670" s="29"/>
      <c r="B670" s="42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spans="1:21" ht="14.25" customHeight="1">
      <c r="A671" s="29"/>
      <c r="B671" s="42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spans="1:21" ht="14.25" customHeight="1">
      <c r="A672" s="29"/>
      <c r="B672" s="42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spans="1:21" ht="14.25" customHeight="1">
      <c r="A673" s="29"/>
      <c r="B673" s="42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spans="1:21" ht="14.25" customHeight="1">
      <c r="A674" s="29"/>
      <c r="B674" s="42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spans="1:21" ht="14.25" customHeight="1">
      <c r="A675" s="29"/>
      <c r="B675" s="42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spans="1:21" ht="14.25" customHeight="1">
      <c r="A676" s="29"/>
      <c r="B676" s="42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spans="1:21" ht="14.25" customHeight="1">
      <c r="A677" s="29"/>
      <c r="B677" s="42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spans="1:21" ht="14.25" customHeight="1">
      <c r="A678" s="29"/>
      <c r="B678" s="42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spans="1:21" ht="14.25" customHeight="1">
      <c r="A679" s="29"/>
      <c r="B679" s="42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spans="1:21" ht="14.25" customHeight="1">
      <c r="A680" s="29"/>
      <c r="B680" s="42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spans="1:21" ht="14.25" customHeight="1">
      <c r="A681" s="29"/>
      <c r="B681" s="42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spans="1:21" ht="14.25" customHeight="1">
      <c r="A682" s="29"/>
      <c r="B682" s="42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spans="1:21" ht="14.25" customHeight="1">
      <c r="A683" s="29"/>
      <c r="B683" s="42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spans="1:21" ht="14.25" customHeight="1">
      <c r="A684" s="29"/>
      <c r="B684" s="42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spans="1:21" ht="14.25" customHeight="1">
      <c r="A685" s="29"/>
      <c r="B685" s="4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spans="1:21" ht="14.25" customHeight="1">
      <c r="A686" s="29"/>
      <c r="B686" s="42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spans="1:21" ht="14.25" customHeight="1">
      <c r="A687" s="29"/>
      <c r="B687" s="42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spans="1:21" ht="14.25" customHeight="1">
      <c r="A688" s="29"/>
      <c r="B688" s="42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spans="1:21" ht="14.25" customHeight="1">
      <c r="A689" s="29"/>
      <c r="B689" s="42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spans="1:21" ht="14.25" customHeight="1">
      <c r="A690" s="29"/>
      <c r="B690" s="4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spans="1:21" ht="14.25" customHeight="1">
      <c r="A691" s="29"/>
      <c r="B691" s="42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spans="1:21" ht="14.25" customHeight="1">
      <c r="A692" s="29"/>
      <c r="B692" s="42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spans="1:21" ht="14.25" customHeight="1">
      <c r="A693" s="29"/>
      <c r="B693" s="42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spans="1:21" ht="14.25" customHeight="1">
      <c r="A694" s="29"/>
      <c r="B694" s="42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spans="1:21" ht="14.25" customHeight="1">
      <c r="A695" s="29"/>
      <c r="B695" s="42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spans="1:21" ht="14.25" customHeight="1">
      <c r="A696" s="29"/>
      <c r="B696" s="42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spans="1:21" ht="14.25" customHeight="1">
      <c r="A697" s="29"/>
      <c r="B697" s="4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spans="1:21" ht="14.25" customHeight="1">
      <c r="A698" s="29"/>
      <c r="B698" s="42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spans="1:21" ht="14.25" customHeight="1">
      <c r="A699" s="29"/>
      <c r="B699" s="42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spans="1:21" ht="14.25" customHeight="1">
      <c r="A700" s="29"/>
      <c r="B700" s="42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spans="1:2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spans="1:2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spans="1:2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spans="1:2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spans="1:2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spans="1:2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spans="1:2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spans="1:2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spans="1:2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spans="1:2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spans="1:2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spans="1:2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spans="1:2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spans="1:2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spans="1:2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spans="1:2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spans="1:2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spans="1:2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spans="1:2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spans="1:2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</sheetData>
  <mergeCells count="8">
    <mergeCell ref="C35:F35"/>
    <mergeCell ref="C36:F36"/>
    <mergeCell ref="B1:F1"/>
    <mergeCell ref="C20:F20"/>
    <mergeCell ref="C19:F19"/>
    <mergeCell ref="C2:F2"/>
    <mergeCell ref="B25:F25"/>
    <mergeCell ref="C26:F26"/>
  </mergeCells>
  <printOptions horizontalCentered="1"/>
  <pageMargins left="0.25" right="0.25" top="0.75" bottom="0.75" header="0.3" footer="0.3"/>
  <pageSetup paperSize="9" scale="9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953A76F76DF4A89A17CC56707788F" ma:contentTypeVersion="4" ma:contentTypeDescription="Crée un document." ma:contentTypeScope="" ma:versionID="343abec2104084fc801819db1d5476a1">
  <xsd:schema xmlns:xsd="http://www.w3.org/2001/XMLSchema" xmlns:xs="http://www.w3.org/2001/XMLSchema" xmlns:p="http://schemas.microsoft.com/office/2006/metadata/properties" xmlns:ns2="d1edcf93-3b42-4c26-849c-df4ad50c6d74" targetNamespace="http://schemas.microsoft.com/office/2006/metadata/properties" ma:root="true" ma:fieldsID="54e8c4b834a910304839c3c1335b1d7f" ns2:_="">
    <xsd:import namespace="d1edcf93-3b42-4c26-849c-df4ad50c6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dcf93-3b42-4c26-849c-df4ad50c6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E845C6-A05C-40A3-A296-EAE8DDF7300A}"/>
</file>

<file path=customXml/itemProps2.xml><?xml version="1.0" encoding="utf-8"?>
<ds:datastoreItem xmlns:ds="http://schemas.openxmlformats.org/officeDocument/2006/customXml" ds:itemID="{7E887F32-681A-4DCD-9E2A-31D87FCF1C02}"/>
</file>

<file path=customXml/itemProps3.xml><?xml version="1.0" encoding="utf-8"?>
<ds:datastoreItem xmlns:ds="http://schemas.openxmlformats.org/officeDocument/2006/customXml" ds:itemID="{59619B89-1471-40BE-9B54-16B0369EE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</dc:creator>
  <cp:keywords/>
  <dc:description/>
  <cp:lastModifiedBy>BRUNERIE, Annick</cp:lastModifiedBy>
  <cp:revision/>
  <dcterms:created xsi:type="dcterms:W3CDTF">2019-12-04T13:13:16Z</dcterms:created>
  <dcterms:modified xsi:type="dcterms:W3CDTF">2025-10-05T17:28:51Z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2022-04-03T16:48:08Z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>d66b4135-ab90-487a-9c4a-8e0c0e1f6129</vt:lpwstr>
  </property>
  <property fmtid="{D5CDD505-2E9C-101B-9397-08002B2CF9AE}" pid="8" name="MSIP_Label_2fd53d93-3f4c-4b90-b511-bd6bdbb4fba9_ContentBits">
    <vt:lpwstr>0</vt:lpwstr>
  </property>
  <property fmtid="{D5CDD505-2E9C-101B-9397-08002B2CF9AE}" pid="9" name="ContentTypeId">
    <vt:lpwstr>0x010100C9B953A76F76DF4A89A17CC56707788F</vt:lpwstr>
  </property>
  <property fmtid="{D5CDD505-2E9C-101B-9397-08002B2CF9AE}" pid="10" name="MediaServiceImageTags">
    <vt:lpwstr/>
  </property>
</Properties>
</file>